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abasehub-my.sharepoint.com/personal/hse_databasehub_onmicrosoft_com/Documents/POM HSE DOCUMENTATION/DASHBOARD/"/>
    </mc:Choice>
  </mc:AlternateContent>
  <xr:revisionPtr revIDLastSave="11" documentId="11_50060B46BD35296F53D3E59C33CD99FCCDC13A9C" xr6:coauthVersionLast="47" xr6:coauthVersionMax="47" xr10:uidLastSave="{D6346996-1AF1-42DC-BF9C-C3050AC58DC7}"/>
  <bookViews>
    <workbookView xWindow="-120" yWindow="-120" windowWidth="29040" windowHeight="17520" firstSheet="9" activeTab="18" xr2:uid="{00000000-000D-0000-FFFF-FFFF00000000}"/>
  </bookViews>
  <sheets>
    <sheet name="POM_Office" sheetId="1" r:id="rId1"/>
    <sheet name="POM_Site" sheetId="2" r:id="rId2"/>
    <sheet name="POC" sheetId="3" r:id="rId3"/>
    <sheet name="Geometra" sheetId="4" r:id="rId4"/>
    <sheet name="K-Rotary" sheetId="5" r:id="rId5"/>
    <sheet name="Starwork" sheetId="6" r:id="rId6"/>
    <sheet name="Millenium" sheetId="7" r:id="rId7"/>
    <sheet name="Geolab" sheetId="8" r:id="rId8"/>
    <sheet name="Twinsteel" sheetId="9" r:id="rId9"/>
    <sheet name="JK Hidro Survey" sheetId="10" r:id="rId10"/>
    <sheet name="Security" sheetId="11" r:id="rId11"/>
    <sheet name="Antarakoh" sheetId="12" r:id="rId12"/>
    <sheet name="Security Boat" sheetId="13" r:id="rId13"/>
    <sheet name="Passenger Boat" sheetId="14" r:id="rId14"/>
    <sheet name="Lagging" sheetId="15" r:id="rId15"/>
    <sheet name="Leading" sheetId="16" r:id="rId16"/>
    <sheet name="Be Safe Card Log" sheetId="17" r:id="rId17"/>
    <sheet name="Training" sheetId="18" r:id="rId18"/>
    <sheet name="Users" sheetId="19" r:id="rId19"/>
  </sheets>
  <externalReferences>
    <externalReference r:id="rId20"/>
  </externalReferences>
  <definedNames>
    <definedName name="_xlnm._FilterDatabase" localSheetId="18" hidden="1">Users!$A$1:$E$5</definedName>
    <definedName name="Monthly_manhour">OFFSET(#REF!,#REF!-#REF!,0,#REF!,1)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8" i="15" l="1"/>
  <c r="C178" i="15"/>
  <c r="B176" i="15"/>
  <c r="C176" i="15"/>
  <c r="B177" i="15"/>
  <c r="C177" i="15"/>
  <c r="B172" i="15"/>
  <c r="C172" i="15"/>
  <c r="B173" i="15"/>
  <c r="C173" i="15"/>
  <c r="B174" i="15"/>
  <c r="C174" i="15"/>
  <c r="B175" i="15"/>
  <c r="C175" i="15"/>
  <c r="B68" i="14"/>
  <c r="C68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8" i="13"/>
  <c r="C68" i="13"/>
  <c r="B62" i="13"/>
  <c r="C62" i="13"/>
  <c r="B63" i="13"/>
  <c r="C63" i="13"/>
  <c r="B64" i="13"/>
  <c r="C64" i="13"/>
  <c r="B65" i="13"/>
  <c r="C65" i="13"/>
  <c r="B66" i="13"/>
  <c r="C66" i="13"/>
  <c r="B67" i="13"/>
  <c r="C67" i="13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B68" i="12"/>
  <c r="B67" i="12"/>
  <c r="B66" i="12"/>
  <c r="B65" i="12"/>
  <c r="B64" i="12"/>
  <c r="B63" i="12"/>
  <c r="B62" i="12"/>
  <c r="B99" i="11"/>
  <c r="C99" i="11"/>
  <c r="B93" i="11"/>
  <c r="C93" i="11"/>
  <c r="B94" i="11"/>
  <c r="C94" i="11"/>
  <c r="B95" i="11"/>
  <c r="C95" i="11"/>
  <c r="B96" i="11"/>
  <c r="C96" i="11"/>
  <c r="B97" i="11"/>
  <c r="C97" i="11"/>
  <c r="B98" i="11"/>
  <c r="C98" i="11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B131" i="5"/>
  <c r="B130" i="5"/>
  <c r="B129" i="5"/>
  <c r="B128" i="5"/>
  <c r="B127" i="5"/>
  <c r="B126" i="5"/>
  <c r="B125" i="5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B178" i="3"/>
  <c r="B177" i="3"/>
  <c r="B176" i="3"/>
  <c r="B175" i="3"/>
  <c r="B174" i="3"/>
  <c r="B173" i="3"/>
  <c r="B172" i="3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B178" i="2"/>
  <c r="B177" i="2"/>
  <c r="B176" i="2"/>
  <c r="B175" i="2"/>
  <c r="B174" i="2"/>
  <c r="B173" i="2"/>
  <c r="B172" i="2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B178" i="1"/>
  <c r="B177" i="1"/>
  <c r="B176" i="1"/>
  <c r="B175" i="1"/>
  <c r="B174" i="1"/>
  <c r="B173" i="1"/>
  <c r="B172" i="1"/>
  <c r="G143" i="17"/>
  <c r="E143" i="17"/>
  <c r="G142" i="17"/>
  <c r="E142" i="17"/>
  <c r="G141" i="17"/>
  <c r="E141" i="17"/>
  <c r="G140" i="17"/>
  <c r="E140" i="17"/>
  <c r="G139" i="17"/>
  <c r="E139" i="17"/>
  <c r="G138" i="17"/>
  <c r="E138" i="17"/>
  <c r="G137" i="17"/>
  <c r="E137" i="17"/>
  <c r="G136" i="17"/>
  <c r="E136" i="17"/>
  <c r="G135" i="17"/>
  <c r="E135" i="17"/>
  <c r="G134" i="17"/>
  <c r="E134" i="17"/>
  <c r="G133" i="17"/>
  <c r="E133" i="17"/>
  <c r="G132" i="17"/>
  <c r="E132" i="17"/>
  <c r="G131" i="17"/>
  <c r="E131" i="17"/>
  <c r="G130" i="17"/>
  <c r="E130" i="17"/>
  <c r="G129" i="17"/>
  <c r="E129" i="17"/>
  <c r="G128" i="17"/>
  <c r="E128" i="17"/>
  <c r="G127" i="17"/>
  <c r="E127" i="17"/>
  <c r="G126" i="17"/>
  <c r="E126" i="17"/>
  <c r="G125" i="17"/>
  <c r="E125" i="17"/>
  <c r="G124" i="17"/>
  <c r="E124" i="17"/>
  <c r="G123" i="17"/>
  <c r="E123" i="17"/>
  <c r="G122" i="17"/>
  <c r="E122" i="17"/>
  <c r="G121" i="17"/>
  <c r="E121" i="17"/>
  <c r="G120" i="17"/>
  <c r="E120" i="17"/>
  <c r="G119" i="17"/>
  <c r="E119" i="17"/>
  <c r="G118" i="17"/>
  <c r="E118" i="17"/>
  <c r="G117" i="17"/>
  <c r="E117" i="17"/>
  <c r="G116" i="17"/>
  <c r="E116" i="17"/>
  <c r="G115" i="17"/>
  <c r="E115" i="17"/>
  <c r="G114" i="17"/>
  <c r="E114" i="17"/>
  <c r="G113" i="17"/>
  <c r="E113" i="17"/>
  <c r="G112" i="17"/>
  <c r="E112" i="17"/>
  <c r="G111" i="17"/>
  <c r="E111" i="17"/>
  <c r="G110" i="17"/>
  <c r="E110" i="17"/>
  <c r="G109" i="17"/>
  <c r="E109" i="17"/>
  <c r="G108" i="17"/>
  <c r="E108" i="17"/>
  <c r="G107" i="17"/>
  <c r="E107" i="17"/>
  <c r="G106" i="17"/>
  <c r="E106" i="17"/>
  <c r="G105" i="17"/>
  <c r="E105" i="17"/>
  <c r="G104" i="17"/>
  <c r="E104" i="17"/>
  <c r="G103" i="17"/>
  <c r="E103" i="17"/>
  <c r="G102" i="17"/>
  <c r="E102" i="17"/>
  <c r="G101" i="17"/>
  <c r="E101" i="17"/>
  <c r="G100" i="17"/>
  <c r="E100" i="17"/>
  <c r="G99" i="17"/>
  <c r="E99" i="17"/>
  <c r="G98" i="17"/>
  <c r="E98" i="17"/>
  <c r="G97" i="17"/>
  <c r="E97" i="17"/>
  <c r="G96" i="17"/>
  <c r="E96" i="17"/>
  <c r="G95" i="17"/>
  <c r="E95" i="17"/>
  <c r="G94" i="17"/>
  <c r="E94" i="17"/>
  <c r="G93" i="17"/>
  <c r="E93" i="17"/>
  <c r="G92" i="17"/>
  <c r="E92" i="17"/>
  <c r="G91" i="17"/>
  <c r="E91" i="17"/>
  <c r="G90" i="17"/>
  <c r="E90" i="17"/>
  <c r="G89" i="17"/>
  <c r="E89" i="17"/>
  <c r="G88" i="17"/>
  <c r="E88" i="17"/>
  <c r="G87" i="17"/>
  <c r="E87" i="17"/>
  <c r="G86" i="17"/>
  <c r="E86" i="17"/>
  <c r="G85" i="17"/>
  <c r="E85" i="17"/>
  <c r="G84" i="17"/>
  <c r="E84" i="17"/>
  <c r="G83" i="17"/>
  <c r="E83" i="17"/>
  <c r="G82" i="17"/>
  <c r="E82" i="17"/>
  <c r="G81" i="17"/>
  <c r="E81" i="17"/>
  <c r="G80" i="17"/>
  <c r="E80" i="17"/>
  <c r="G79" i="17"/>
  <c r="E79" i="17"/>
  <c r="G78" i="17"/>
  <c r="E78" i="17"/>
  <c r="G77" i="17"/>
  <c r="E77" i="17"/>
  <c r="G76" i="17"/>
  <c r="E76" i="17"/>
  <c r="G75" i="17"/>
  <c r="E75" i="17"/>
  <c r="G74" i="17"/>
  <c r="E74" i="17"/>
  <c r="G73" i="17"/>
  <c r="E73" i="17"/>
  <c r="G72" i="17"/>
  <c r="E72" i="17"/>
  <c r="G71" i="17"/>
  <c r="E71" i="17"/>
  <c r="G70" i="17"/>
  <c r="E70" i="17"/>
  <c r="G69" i="17"/>
  <c r="E69" i="17"/>
  <c r="G68" i="17"/>
  <c r="E68" i="17"/>
  <c r="G67" i="17"/>
  <c r="E67" i="17"/>
  <c r="G66" i="17"/>
  <c r="E66" i="17"/>
  <c r="G65" i="17"/>
  <c r="E65" i="17"/>
  <c r="G64" i="17"/>
  <c r="E64" i="17"/>
  <c r="G63" i="17"/>
  <c r="E63" i="17"/>
  <c r="G62" i="17"/>
  <c r="E62" i="17"/>
  <c r="G61" i="17"/>
  <c r="E61" i="17"/>
  <c r="G60" i="17"/>
  <c r="E60" i="17"/>
  <c r="G59" i="17"/>
  <c r="E59" i="17"/>
  <c r="G58" i="17"/>
  <c r="E58" i="17"/>
  <c r="G57" i="17"/>
  <c r="E57" i="17"/>
  <c r="G56" i="17"/>
  <c r="E56" i="17"/>
  <c r="G55" i="17"/>
  <c r="E55" i="17"/>
  <c r="G54" i="17"/>
  <c r="E54" i="17"/>
  <c r="G53" i="17"/>
  <c r="E53" i="17"/>
  <c r="G52" i="17"/>
  <c r="E52" i="17"/>
  <c r="G51" i="17"/>
  <c r="E51" i="17"/>
  <c r="G50" i="17"/>
  <c r="E50" i="17"/>
  <c r="G49" i="17"/>
  <c r="E49" i="17"/>
  <c r="G48" i="17"/>
  <c r="E48" i="17"/>
  <c r="G47" i="17"/>
  <c r="E47" i="17"/>
  <c r="G46" i="17"/>
  <c r="E46" i="17"/>
  <c r="G45" i="17"/>
  <c r="E45" i="17"/>
  <c r="G44" i="17"/>
  <c r="E44" i="17"/>
  <c r="G43" i="17"/>
  <c r="E43" i="17"/>
  <c r="G42" i="17"/>
  <c r="E42" i="17"/>
  <c r="G41" i="17"/>
  <c r="E41" i="17"/>
  <c r="G40" i="17"/>
  <c r="E40" i="17"/>
  <c r="G39" i="17"/>
  <c r="E39" i="17"/>
  <c r="G38" i="17"/>
  <c r="E38" i="17"/>
  <c r="G37" i="17"/>
  <c r="E37" i="17"/>
  <c r="G36" i="17"/>
  <c r="E36" i="17"/>
  <c r="G35" i="17"/>
  <c r="E35" i="17"/>
  <c r="G34" i="17"/>
  <c r="E34" i="17"/>
  <c r="G33" i="17"/>
  <c r="E33" i="17"/>
  <c r="G32" i="17"/>
  <c r="E32" i="17"/>
  <c r="G31" i="17"/>
  <c r="E31" i="17"/>
  <c r="G30" i="17"/>
  <c r="E30" i="17"/>
  <c r="G29" i="17"/>
  <c r="E29" i="17"/>
  <c r="G28" i="17"/>
  <c r="E28" i="17"/>
  <c r="G27" i="17"/>
  <c r="E27" i="17"/>
  <c r="G26" i="17"/>
  <c r="E26" i="17"/>
  <c r="G25" i="17"/>
  <c r="E25" i="17"/>
  <c r="G24" i="17"/>
  <c r="E24" i="17"/>
  <c r="G23" i="17"/>
  <c r="E23" i="17"/>
  <c r="G22" i="17"/>
  <c r="E22" i="17"/>
  <c r="G21" i="17"/>
  <c r="E21" i="17"/>
  <c r="G20" i="17"/>
  <c r="E20" i="17"/>
  <c r="G19" i="17"/>
  <c r="E19" i="17"/>
  <c r="G18" i="17"/>
  <c r="E18" i="17"/>
  <c r="G17" i="17"/>
  <c r="E17" i="17"/>
  <c r="G16" i="17"/>
  <c r="E16" i="17"/>
  <c r="G15" i="17"/>
  <c r="E15" i="17"/>
  <c r="G14" i="17"/>
  <c r="E14" i="17"/>
  <c r="G13" i="17"/>
  <c r="E13" i="17"/>
  <c r="G12" i="17"/>
  <c r="E12" i="17"/>
  <c r="G11" i="17"/>
  <c r="E11" i="17"/>
  <c r="G10" i="17"/>
  <c r="E10" i="17"/>
  <c r="G9" i="17"/>
  <c r="E9" i="17"/>
  <c r="G8" i="17"/>
  <c r="E8" i="17"/>
  <c r="G7" i="17"/>
  <c r="E7" i="17"/>
  <c r="G6" i="17"/>
  <c r="E6" i="17"/>
  <c r="G5" i="17"/>
  <c r="E5" i="17"/>
  <c r="G4" i="17"/>
  <c r="E4" i="17"/>
  <c r="G3" i="17"/>
  <c r="E3" i="17"/>
  <c r="G2" i="17"/>
  <c r="E2" i="17"/>
  <c r="C171" i="16"/>
  <c r="B171" i="16"/>
  <c r="C170" i="16"/>
  <c r="B170" i="16"/>
  <c r="C169" i="16"/>
  <c r="B169" i="16"/>
  <c r="C168" i="16"/>
  <c r="B168" i="16"/>
  <c r="C167" i="16"/>
  <c r="B167" i="16"/>
  <c r="C166" i="16"/>
  <c r="B166" i="16"/>
  <c r="C165" i="16"/>
  <c r="B165" i="16"/>
  <c r="C164" i="16"/>
  <c r="B164" i="16"/>
  <c r="C163" i="16"/>
  <c r="B163" i="16"/>
  <c r="C162" i="16"/>
  <c r="B162" i="16"/>
  <c r="C161" i="16"/>
  <c r="B161" i="16"/>
  <c r="C160" i="16"/>
  <c r="B160" i="16"/>
  <c r="C159" i="16"/>
  <c r="B159" i="16"/>
  <c r="C158" i="16"/>
  <c r="B158" i="16"/>
  <c r="C157" i="16"/>
  <c r="B157" i="16"/>
  <c r="C156" i="16"/>
  <c r="B156" i="16"/>
  <c r="C155" i="16"/>
  <c r="B155" i="16"/>
  <c r="C154" i="16"/>
  <c r="B154" i="16"/>
  <c r="C153" i="16"/>
  <c r="B153" i="16"/>
  <c r="C152" i="16"/>
  <c r="B152" i="16"/>
  <c r="C151" i="16"/>
  <c r="B151" i="16"/>
  <c r="C150" i="16"/>
  <c r="B150" i="16"/>
  <c r="C149" i="16"/>
  <c r="B149" i="16"/>
  <c r="C148" i="16"/>
  <c r="B148" i="16"/>
  <c r="C147" i="16"/>
  <c r="B147" i="16"/>
  <c r="C146" i="16"/>
  <c r="B146" i="16"/>
  <c r="C145" i="16"/>
  <c r="B145" i="16"/>
  <c r="C144" i="16"/>
  <c r="B144" i="16"/>
  <c r="C143" i="16"/>
  <c r="B143" i="16"/>
  <c r="C142" i="16"/>
  <c r="B142" i="16"/>
  <c r="C141" i="16"/>
  <c r="B141" i="16"/>
  <c r="C140" i="16"/>
  <c r="B140" i="16"/>
  <c r="C139" i="16"/>
  <c r="B139" i="16"/>
  <c r="C138" i="16"/>
  <c r="B138" i="16"/>
  <c r="C137" i="16"/>
  <c r="B137" i="16"/>
  <c r="C136" i="16"/>
  <c r="B136" i="16"/>
  <c r="C135" i="16"/>
  <c r="B135" i="16"/>
  <c r="C134" i="16"/>
  <c r="B134" i="16"/>
  <c r="C133" i="16"/>
  <c r="B133" i="16"/>
  <c r="C132" i="16"/>
  <c r="B132" i="16"/>
  <c r="C131" i="16"/>
  <c r="B131" i="16"/>
  <c r="C130" i="16"/>
  <c r="B130" i="16"/>
  <c r="C129" i="16"/>
  <c r="B129" i="16"/>
  <c r="C128" i="16"/>
  <c r="B128" i="16"/>
  <c r="C127" i="16"/>
  <c r="B127" i="16"/>
  <c r="C126" i="16"/>
  <c r="B126" i="16"/>
  <c r="C125" i="16"/>
  <c r="B125" i="16"/>
  <c r="C124" i="16"/>
  <c r="B124" i="16"/>
  <c r="C123" i="16"/>
  <c r="B123" i="16"/>
  <c r="C122" i="16"/>
  <c r="B122" i="16"/>
  <c r="C121" i="16"/>
  <c r="B121" i="16"/>
  <c r="C120" i="16"/>
  <c r="B120" i="16"/>
  <c r="C119" i="16"/>
  <c r="B119" i="16"/>
  <c r="C118" i="16"/>
  <c r="B118" i="16"/>
  <c r="C117" i="16"/>
  <c r="B117" i="16"/>
  <c r="C116" i="16"/>
  <c r="B116" i="16"/>
  <c r="C115" i="16"/>
  <c r="B115" i="16"/>
  <c r="C114" i="16"/>
  <c r="B114" i="16"/>
  <c r="C113" i="16"/>
  <c r="B113" i="16"/>
  <c r="C112" i="16"/>
  <c r="B112" i="16"/>
  <c r="C111" i="16"/>
  <c r="B111" i="16"/>
  <c r="C110" i="16"/>
  <c r="B110" i="16"/>
  <c r="C109" i="16"/>
  <c r="B109" i="16"/>
  <c r="C108" i="16"/>
  <c r="B108" i="16"/>
  <c r="C107" i="16"/>
  <c r="B107" i="16"/>
  <c r="C106" i="16"/>
  <c r="B106" i="16"/>
  <c r="C105" i="16"/>
  <c r="B105" i="16"/>
  <c r="C104" i="16"/>
  <c r="B104" i="16"/>
  <c r="C103" i="16"/>
  <c r="B103" i="16"/>
  <c r="C102" i="16"/>
  <c r="B102" i="16"/>
  <c r="C101" i="16"/>
  <c r="B101" i="16"/>
  <c r="C100" i="16"/>
  <c r="B100" i="16"/>
  <c r="C99" i="16"/>
  <c r="B99" i="16"/>
  <c r="C98" i="16"/>
  <c r="B98" i="16"/>
  <c r="C97" i="16"/>
  <c r="B97" i="16"/>
  <c r="C96" i="16"/>
  <c r="B96" i="16"/>
  <c r="C95" i="16"/>
  <c r="B95" i="16"/>
  <c r="C94" i="16"/>
  <c r="B94" i="16"/>
  <c r="C93" i="16"/>
  <c r="B93" i="16"/>
  <c r="C92" i="16"/>
  <c r="B92" i="16"/>
  <c r="C91" i="16"/>
  <c r="B91" i="16"/>
  <c r="C90" i="16"/>
  <c r="B90" i="16"/>
  <c r="C89" i="16"/>
  <c r="B89" i="16"/>
  <c r="C88" i="16"/>
  <c r="B88" i="16"/>
  <c r="C87" i="16"/>
  <c r="B87" i="16"/>
  <c r="C86" i="16"/>
  <c r="B86" i="16"/>
  <c r="C85" i="16"/>
  <c r="B85" i="16"/>
  <c r="C84" i="16"/>
  <c r="B84" i="16"/>
  <c r="C83" i="16"/>
  <c r="B83" i="16"/>
  <c r="C82" i="16"/>
  <c r="B82" i="16"/>
  <c r="C81" i="16"/>
  <c r="B81" i="16"/>
  <c r="C80" i="16"/>
  <c r="B80" i="16"/>
  <c r="C79" i="16"/>
  <c r="B79" i="16"/>
  <c r="C78" i="16"/>
  <c r="B78" i="16"/>
  <c r="C77" i="16"/>
  <c r="B77" i="16"/>
  <c r="C76" i="16"/>
  <c r="B76" i="16"/>
  <c r="C75" i="16"/>
  <c r="B75" i="16"/>
  <c r="C74" i="16"/>
  <c r="B74" i="16"/>
  <c r="C73" i="16"/>
  <c r="B73" i="16"/>
  <c r="C72" i="16"/>
  <c r="B72" i="16"/>
  <c r="C71" i="16"/>
  <c r="B71" i="16"/>
  <c r="C70" i="16"/>
  <c r="B70" i="16"/>
  <c r="C69" i="16"/>
  <c r="B69" i="16"/>
  <c r="C68" i="16"/>
  <c r="B68" i="16"/>
  <c r="C67" i="16"/>
  <c r="B67" i="16"/>
  <c r="C66" i="16"/>
  <c r="B66" i="16"/>
  <c r="C65" i="16"/>
  <c r="B65" i="16"/>
  <c r="C64" i="16"/>
  <c r="B64" i="16"/>
  <c r="C63" i="16"/>
  <c r="B63" i="16"/>
  <c r="C62" i="16"/>
  <c r="B62" i="16"/>
  <c r="C61" i="16"/>
  <c r="B61" i="16"/>
  <c r="C60" i="16"/>
  <c r="B60" i="16"/>
  <c r="C59" i="16"/>
  <c r="B59" i="16"/>
  <c r="C58" i="16"/>
  <c r="B58" i="16"/>
  <c r="C57" i="16"/>
  <c r="B57" i="16"/>
  <c r="C56" i="16"/>
  <c r="B56" i="16"/>
  <c r="C55" i="16"/>
  <c r="B55" i="16"/>
  <c r="C54" i="16"/>
  <c r="B54" i="16"/>
  <c r="C53" i="16"/>
  <c r="B53" i="16"/>
  <c r="C52" i="16"/>
  <c r="B52" i="16"/>
  <c r="C51" i="16"/>
  <c r="B51" i="16"/>
  <c r="C50" i="16"/>
  <c r="B50" i="16"/>
  <c r="C49" i="16"/>
  <c r="B49" i="16"/>
  <c r="C48" i="16"/>
  <c r="B48" i="16"/>
  <c r="C47" i="16"/>
  <c r="B47" i="16"/>
  <c r="C46" i="16"/>
  <c r="B46" i="16"/>
  <c r="C45" i="16"/>
  <c r="B45" i="16"/>
  <c r="C44" i="16"/>
  <c r="B44" i="16"/>
  <c r="C43" i="16"/>
  <c r="B43" i="16"/>
  <c r="C42" i="16"/>
  <c r="B42" i="16"/>
  <c r="C41" i="16"/>
  <c r="B41" i="16"/>
  <c r="C40" i="16"/>
  <c r="B40" i="16"/>
  <c r="C39" i="16"/>
  <c r="B39" i="16"/>
  <c r="C38" i="16"/>
  <c r="B38" i="16"/>
  <c r="C37" i="16"/>
  <c r="B37" i="16"/>
  <c r="C36" i="16"/>
  <c r="B36" i="16"/>
  <c r="C35" i="16"/>
  <c r="B35" i="16"/>
  <c r="C34" i="16"/>
  <c r="B34" i="16"/>
  <c r="C33" i="16"/>
  <c r="B33" i="16"/>
  <c r="C32" i="16"/>
  <c r="B32" i="16"/>
  <c r="C31" i="16"/>
  <c r="B31" i="16"/>
  <c r="C30" i="16"/>
  <c r="B30" i="16"/>
  <c r="C29" i="16"/>
  <c r="B29" i="16"/>
  <c r="C28" i="16"/>
  <c r="B28" i="16"/>
  <c r="C27" i="16"/>
  <c r="B27" i="16"/>
  <c r="C26" i="16"/>
  <c r="B26" i="16"/>
  <c r="C25" i="16"/>
  <c r="B25" i="16"/>
  <c r="C24" i="16"/>
  <c r="B24" i="16"/>
  <c r="C23" i="16"/>
  <c r="B23" i="16"/>
  <c r="C22" i="16"/>
  <c r="B22" i="16"/>
  <c r="C21" i="16"/>
  <c r="B21" i="16"/>
  <c r="C20" i="16"/>
  <c r="B20" i="16"/>
  <c r="C19" i="16"/>
  <c r="B19" i="16"/>
  <c r="C18" i="16"/>
  <c r="B18" i="16"/>
  <c r="C17" i="16"/>
  <c r="B17" i="16"/>
  <c r="C16" i="16"/>
  <c r="B16" i="16"/>
  <c r="C15" i="16"/>
  <c r="B15" i="16"/>
  <c r="C14" i="16"/>
  <c r="B14" i="16"/>
  <c r="C13" i="16"/>
  <c r="B13" i="16"/>
  <c r="C12" i="16"/>
  <c r="B12" i="16"/>
  <c r="C11" i="16"/>
  <c r="B11" i="16"/>
  <c r="C10" i="16"/>
  <c r="B10" i="16"/>
  <c r="C9" i="16"/>
  <c r="B9" i="16"/>
  <c r="C8" i="16"/>
  <c r="B8" i="16"/>
  <c r="C7" i="16"/>
  <c r="B7" i="16"/>
  <c r="C6" i="16"/>
  <c r="B6" i="16"/>
  <c r="C171" i="15"/>
  <c r="B171" i="15"/>
  <c r="C170" i="15"/>
  <c r="B170" i="15"/>
  <c r="C169" i="15"/>
  <c r="B169" i="15"/>
  <c r="C168" i="15"/>
  <c r="B168" i="15"/>
  <c r="C167" i="15"/>
  <c r="B167" i="15"/>
  <c r="C166" i="15"/>
  <c r="B166" i="15"/>
  <c r="C165" i="15"/>
  <c r="B165" i="15"/>
  <c r="C164" i="15"/>
  <c r="B164" i="15"/>
  <c r="C163" i="15"/>
  <c r="B163" i="15"/>
  <c r="C162" i="15"/>
  <c r="B162" i="15"/>
  <c r="C161" i="15"/>
  <c r="B161" i="15"/>
  <c r="C160" i="15"/>
  <c r="B160" i="15"/>
  <c r="C159" i="15"/>
  <c r="B159" i="15"/>
  <c r="C158" i="15"/>
  <c r="B158" i="15"/>
  <c r="C157" i="15"/>
  <c r="B157" i="15"/>
  <c r="C156" i="15"/>
  <c r="B156" i="15"/>
  <c r="C155" i="15"/>
  <c r="B155" i="15"/>
  <c r="C154" i="15"/>
  <c r="B154" i="15"/>
  <c r="C153" i="15"/>
  <c r="B153" i="15"/>
  <c r="C152" i="15"/>
  <c r="B152" i="15"/>
  <c r="C151" i="15"/>
  <c r="B151" i="15"/>
  <c r="C150" i="15"/>
  <c r="B150" i="15"/>
  <c r="C149" i="15"/>
  <c r="B149" i="15"/>
  <c r="C148" i="15"/>
  <c r="B148" i="15"/>
  <c r="C147" i="15"/>
  <c r="B147" i="15"/>
  <c r="C146" i="15"/>
  <c r="B146" i="15"/>
  <c r="C145" i="15"/>
  <c r="B145" i="15"/>
  <c r="C144" i="15"/>
  <c r="B144" i="15"/>
  <c r="C143" i="15"/>
  <c r="B143" i="15"/>
  <c r="C142" i="15"/>
  <c r="B142" i="15"/>
  <c r="C141" i="15"/>
  <c r="B141" i="15"/>
  <c r="C140" i="15"/>
  <c r="B140" i="15"/>
  <c r="C139" i="15"/>
  <c r="B139" i="15"/>
  <c r="C138" i="15"/>
  <c r="B138" i="15"/>
  <c r="C137" i="15"/>
  <c r="B137" i="15"/>
  <c r="C136" i="15"/>
  <c r="B136" i="15"/>
  <c r="C135" i="15"/>
  <c r="B135" i="15"/>
  <c r="C134" i="15"/>
  <c r="B134" i="15"/>
  <c r="C133" i="15"/>
  <c r="B133" i="15"/>
  <c r="C132" i="15"/>
  <c r="B132" i="15"/>
  <c r="C131" i="15"/>
  <c r="B131" i="15"/>
  <c r="C130" i="15"/>
  <c r="B130" i="15"/>
  <c r="C129" i="15"/>
  <c r="B129" i="15"/>
  <c r="C128" i="15"/>
  <c r="B128" i="15"/>
  <c r="C127" i="15"/>
  <c r="B127" i="15"/>
  <c r="C126" i="15"/>
  <c r="B126" i="15"/>
  <c r="C125" i="15"/>
  <c r="B125" i="15"/>
  <c r="C124" i="15"/>
  <c r="B124" i="15"/>
  <c r="C123" i="15"/>
  <c r="B123" i="15"/>
  <c r="C122" i="15"/>
  <c r="B122" i="15"/>
  <c r="C121" i="15"/>
  <c r="B121" i="15"/>
  <c r="C120" i="15"/>
  <c r="B120" i="15"/>
  <c r="C119" i="15"/>
  <c r="B119" i="15"/>
  <c r="C118" i="15"/>
  <c r="B118" i="15"/>
  <c r="C117" i="15"/>
  <c r="B117" i="15"/>
  <c r="C116" i="15"/>
  <c r="B116" i="15"/>
  <c r="C115" i="15"/>
  <c r="B115" i="15"/>
  <c r="C114" i="15"/>
  <c r="B114" i="15"/>
  <c r="C113" i="15"/>
  <c r="B113" i="15"/>
  <c r="C112" i="15"/>
  <c r="B112" i="15"/>
  <c r="C111" i="15"/>
  <c r="B111" i="15"/>
  <c r="C110" i="15"/>
  <c r="B110" i="15"/>
  <c r="C109" i="15"/>
  <c r="B109" i="15"/>
  <c r="C108" i="15"/>
  <c r="B108" i="15"/>
  <c r="C107" i="15"/>
  <c r="B107" i="15"/>
  <c r="C106" i="15"/>
  <c r="B106" i="15"/>
  <c r="C105" i="15"/>
  <c r="B105" i="15"/>
  <c r="C104" i="15"/>
  <c r="B104" i="15"/>
  <c r="C103" i="15"/>
  <c r="B103" i="15"/>
  <c r="C102" i="15"/>
  <c r="B102" i="15"/>
  <c r="C101" i="15"/>
  <c r="B101" i="15"/>
  <c r="C100" i="15"/>
  <c r="B100" i="15"/>
  <c r="C99" i="15"/>
  <c r="B99" i="15"/>
  <c r="C98" i="15"/>
  <c r="B98" i="15"/>
  <c r="C97" i="15"/>
  <c r="B97" i="15"/>
  <c r="C96" i="15"/>
  <c r="B96" i="15"/>
  <c r="C95" i="15"/>
  <c r="B95" i="15"/>
  <c r="C94" i="15"/>
  <c r="B94" i="15"/>
  <c r="C93" i="15"/>
  <c r="B93" i="15"/>
  <c r="C92" i="15"/>
  <c r="B92" i="15"/>
  <c r="C91" i="15"/>
  <c r="B91" i="15"/>
  <c r="C90" i="15"/>
  <c r="B90" i="15"/>
  <c r="C89" i="15"/>
  <c r="B89" i="15"/>
  <c r="C88" i="15"/>
  <c r="B88" i="15"/>
  <c r="C87" i="15"/>
  <c r="B87" i="15"/>
  <c r="C86" i="15"/>
  <c r="B86" i="15"/>
  <c r="C85" i="15"/>
  <c r="B85" i="15"/>
  <c r="C84" i="15"/>
  <c r="B84" i="15"/>
  <c r="C83" i="15"/>
  <c r="B83" i="15"/>
  <c r="C82" i="15"/>
  <c r="B82" i="15"/>
  <c r="C81" i="15"/>
  <c r="B81" i="15"/>
  <c r="C80" i="15"/>
  <c r="B80" i="15"/>
  <c r="C79" i="15"/>
  <c r="B79" i="15"/>
  <c r="C78" i="15"/>
  <c r="B78" i="15"/>
  <c r="C77" i="15"/>
  <c r="B77" i="15"/>
  <c r="C76" i="15"/>
  <c r="B76" i="15"/>
  <c r="C75" i="15"/>
  <c r="B75" i="15"/>
  <c r="C74" i="15"/>
  <c r="B74" i="15"/>
  <c r="C73" i="15"/>
  <c r="B73" i="15"/>
  <c r="C72" i="15"/>
  <c r="B72" i="15"/>
  <c r="C71" i="15"/>
  <c r="B71" i="15"/>
  <c r="C70" i="15"/>
  <c r="B70" i="15"/>
  <c r="C69" i="15"/>
  <c r="B69" i="15"/>
  <c r="C68" i="15"/>
  <c r="B68" i="15"/>
  <c r="C67" i="15"/>
  <c r="B67" i="15"/>
  <c r="C66" i="15"/>
  <c r="B66" i="15"/>
  <c r="C65" i="15"/>
  <c r="B65" i="15"/>
  <c r="C64" i="15"/>
  <c r="B64" i="15"/>
  <c r="C63" i="15"/>
  <c r="B63" i="15"/>
  <c r="C62" i="15"/>
  <c r="B62" i="15"/>
  <c r="C61" i="15"/>
  <c r="B61" i="15"/>
  <c r="C60" i="15"/>
  <c r="B60" i="15"/>
  <c r="C59" i="15"/>
  <c r="B59" i="15"/>
  <c r="C58" i="15"/>
  <c r="B58" i="15"/>
  <c r="C57" i="15"/>
  <c r="B57" i="15"/>
  <c r="C56" i="15"/>
  <c r="B56" i="15"/>
  <c r="C55" i="15"/>
  <c r="B55" i="15"/>
  <c r="C54" i="15"/>
  <c r="B54" i="15"/>
  <c r="C53" i="15"/>
  <c r="B53" i="15"/>
  <c r="C52" i="15"/>
  <c r="B52" i="15"/>
  <c r="C51" i="15"/>
  <c r="B51" i="15"/>
  <c r="C50" i="15"/>
  <c r="B50" i="15"/>
  <c r="C49" i="15"/>
  <c r="B49" i="15"/>
  <c r="C48" i="15"/>
  <c r="B48" i="15"/>
  <c r="C47" i="15"/>
  <c r="B47" i="15"/>
  <c r="C46" i="15"/>
  <c r="B46" i="15"/>
  <c r="C45" i="15"/>
  <c r="B45" i="15"/>
  <c r="C44" i="15"/>
  <c r="B44" i="15"/>
  <c r="C43" i="15"/>
  <c r="B43" i="15"/>
  <c r="C42" i="15"/>
  <c r="B42" i="15"/>
  <c r="C41" i="15"/>
  <c r="B41" i="15"/>
  <c r="C40" i="15"/>
  <c r="B40" i="15"/>
  <c r="C39" i="15"/>
  <c r="B39" i="15"/>
  <c r="C38" i="15"/>
  <c r="B38" i="15"/>
  <c r="C37" i="15"/>
  <c r="B37" i="15"/>
  <c r="C36" i="15"/>
  <c r="B36" i="15"/>
  <c r="C35" i="15"/>
  <c r="B35" i="15"/>
  <c r="C34" i="15"/>
  <c r="B34" i="15"/>
  <c r="C33" i="15"/>
  <c r="B33" i="15"/>
  <c r="C32" i="15"/>
  <c r="B32" i="15"/>
  <c r="C31" i="15"/>
  <c r="B31" i="15"/>
  <c r="C30" i="15"/>
  <c r="B30" i="15"/>
  <c r="C29" i="15"/>
  <c r="B29" i="15"/>
  <c r="C28" i="15"/>
  <c r="B28" i="15"/>
  <c r="C27" i="15"/>
  <c r="B27" i="15"/>
  <c r="C26" i="15"/>
  <c r="B26" i="15"/>
  <c r="C25" i="15"/>
  <c r="B25" i="15"/>
  <c r="C24" i="15"/>
  <c r="B24" i="15"/>
  <c r="C23" i="15"/>
  <c r="B23" i="15"/>
  <c r="C22" i="15"/>
  <c r="B22" i="15"/>
  <c r="C21" i="15"/>
  <c r="B21" i="15"/>
  <c r="C20" i="15"/>
  <c r="B20" i="15"/>
  <c r="C19" i="15"/>
  <c r="B19" i="15"/>
  <c r="C18" i="15"/>
  <c r="B18" i="15"/>
  <c r="C17" i="15"/>
  <c r="B17" i="15"/>
  <c r="C16" i="15"/>
  <c r="B16" i="15"/>
  <c r="C15" i="15"/>
  <c r="B15" i="15"/>
  <c r="C14" i="15"/>
  <c r="B14" i="15"/>
  <c r="C13" i="15"/>
  <c r="B13" i="15"/>
  <c r="C12" i="15"/>
  <c r="B12" i="15"/>
  <c r="C11" i="15"/>
  <c r="B11" i="15"/>
  <c r="C10" i="15"/>
  <c r="B10" i="15"/>
  <c r="C9" i="15"/>
  <c r="B9" i="15"/>
  <c r="C8" i="15"/>
  <c r="B8" i="15"/>
  <c r="C7" i="15"/>
  <c r="B7" i="15"/>
  <c r="C6" i="15"/>
  <c r="B6" i="15"/>
  <c r="C61" i="14"/>
  <c r="B61" i="14"/>
  <c r="C60" i="14"/>
  <c r="B60" i="14"/>
  <c r="C59" i="14"/>
  <c r="B59" i="14"/>
  <c r="C58" i="14"/>
  <c r="B58" i="14"/>
  <c r="C57" i="14"/>
  <c r="B57" i="14"/>
  <c r="C56" i="14"/>
  <c r="B56" i="14"/>
  <c r="C55" i="14"/>
  <c r="B55" i="14"/>
  <c r="C54" i="14"/>
  <c r="B54" i="14"/>
  <c r="C53" i="14"/>
  <c r="B53" i="14"/>
  <c r="C52" i="14"/>
  <c r="B52" i="14"/>
  <c r="C51" i="14"/>
  <c r="B51" i="14"/>
  <c r="C50" i="14"/>
  <c r="B50" i="14"/>
  <c r="C49" i="14"/>
  <c r="B49" i="14"/>
  <c r="C48" i="14"/>
  <c r="B48" i="14"/>
  <c r="C47" i="14"/>
  <c r="B47" i="14"/>
  <c r="C46" i="14"/>
  <c r="B46" i="14"/>
  <c r="C45" i="14"/>
  <c r="B45" i="14"/>
  <c r="C44" i="14"/>
  <c r="B44" i="14"/>
  <c r="C43" i="14"/>
  <c r="B43" i="14"/>
  <c r="C42" i="14"/>
  <c r="B42" i="14"/>
  <c r="C41" i="14"/>
  <c r="B41" i="14"/>
  <c r="C40" i="14"/>
  <c r="B40" i="14"/>
  <c r="C39" i="14"/>
  <c r="B39" i="14"/>
  <c r="C38" i="14"/>
  <c r="B38" i="14"/>
  <c r="C37" i="14"/>
  <c r="B37" i="14"/>
  <c r="C36" i="14"/>
  <c r="B36" i="14"/>
  <c r="C35" i="14"/>
  <c r="B35" i="14"/>
  <c r="C34" i="14"/>
  <c r="B34" i="14"/>
  <c r="C33" i="14"/>
  <c r="B33" i="14"/>
  <c r="C32" i="14"/>
  <c r="B32" i="14"/>
  <c r="C31" i="14"/>
  <c r="B31" i="14"/>
  <c r="C30" i="14"/>
  <c r="B30" i="14"/>
  <c r="C29" i="14"/>
  <c r="B29" i="14"/>
  <c r="C28" i="14"/>
  <c r="B28" i="14"/>
  <c r="C27" i="14"/>
  <c r="B27" i="14"/>
  <c r="C26" i="14"/>
  <c r="B26" i="14"/>
  <c r="C25" i="14"/>
  <c r="B25" i="14"/>
  <c r="C24" i="14"/>
  <c r="B24" i="14"/>
  <c r="C23" i="14"/>
  <c r="B23" i="14"/>
  <c r="C22" i="14"/>
  <c r="B22" i="14"/>
  <c r="C21" i="14"/>
  <c r="B21" i="14"/>
  <c r="C20" i="14"/>
  <c r="B20" i="14"/>
  <c r="C19" i="14"/>
  <c r="B19" i="14"/>
  <c r="C18" i="14"/>
  <c r="B18" i="14"/>
  <c r="C17" i="14"/>
  <c r="B17" i="14"/>
  <c r="C16" i="14"/>
  <c r="B16" i="14"/>
  <c r="C15" i="14"/>
  <c r="B15" i="14"/>
  <c r="C14" i="14"/>
  <c r="B14" i="14"/>
  <c r="C13" i="14"/>
  <c r="B13" i="14"/>
  <c r="C12" i="14"/>
  <c r="B12" i="14"/>
  <c r="C11" i="14"/>
  <c r="B11" i="14"/>
  <c r="C10" i="14"/>
  <c r="B10" i="14"/>
  <c r="C9" i="14"/>
  <c r="B9" i="14"/>
  <c r="C8" i="14"/>
  <c r="B8" i="14"/>
  <c r="C7" i="14"/>
  <c r="B7" i="14"/>
  <c r="C6" i="14"/>
  <c r="B6" i="14"/>
  <c r="C61" i="13"/>
  <c r="B61" i="13"/>
  <c r="C60" i="13"/>
  <c r="B60" i="13"/>
  <c r="C59" i="13"/>
  <c r="B59" i="13"/>
  <c r="C58" i="13"/>
  <c r="B58" i="13"/>
  <c r="C57" i="13"/>
  <c r="B57" i="13"/>
  <c r="C56" i="13"/>
  <c r="B56" i="13"/>
  <c r="C55" i="13"/>
  <c r="B55" i="13"/>
  <c r="C54" i="13"/>
  <c r="B54" i="13"/>
  <c r="C53" i="13"/>
  <c r="B53" i="13"/>
  <c r="C52" i="13"/>
  <c r="B52" i="13"/>
  <c r="C51" i="13"/>
  <c r="B51" i="13"/>
  <c r="C50" i="13"/>
  <c r="B50" i="13"/>
  <c r="C49" i="13"/>
  <c r="B49" i="13"/>
  <c r="C48" i="13"/>
  <c r="B48" i="13"/>
  <c r="C47" i="13"/>
  <c r="B47" i="13"/>
  <c r="C46" i="13"/>
  <c r="B46" i="13"/>
  <c r="C45" i="13"/>
  <c r="B45" i="13"/>
  <c r="C44" i="13"/>
  <c r="B44" i="13"/>
  <c r="C43" i="13"/>
  <c r="B43" i="13"/>
  <c r="C42" i="13"/>
  <c r="B42" i="13"/>
  <c r="C41" i="13"/>
  <c r="B41" i="13"/>
  <c r="C40" i="13"/>
  <c r="B40" i="13"/>
  <c r="C39" i="13"/>
  <c r="B39" i="13"/>
  <c r="C38" i="13"/>
  <c r="B38" i="13"/>
  <c r="C37" i="13"/>
  <c r="B37" i="13"/>
  <c r="C36" i="13"/>
  <c r="B36" i="13"/>
  <c r="C35" i="13"/>
  <c r="B35" i="13"/>
  <c r="C34" i="13"/>
  <c r="B34" i="13"/>
  <c r="C33" i="13"/>
  <c r="B33" i="13"/>
  <c r="C32" i="13"/>
  <c r="B32" i="13"/>
  <c r="C31" i="13"/>
  <c r="B31" i="13"/>
  <c r="C30" i="13"/>
  <c r="B30" i="13"/>
  <c r="C29" i="13"/>
  <c r="B29" i="13"/>
  <c r="C28" i="13"/>
  <c r="B28" i="13"/>
  <c r="C27" i="13"/>
  <c r="B27" i="13"/>
  <c r="C26" i="13"/>
  <c r="B26" i="13"/>
  <c r="C25" i="13"/>
  <c r="B25" i="13"/>
  <c r="C24" i="13"/>
  <c r="B24" i="13"/>
  <c r="C23" i="13"/>
  <c r="B23" i="13"/>
  <c r="C22" i="13"/>
  <c r="B22" i="13"/>
  <c r="C21" i="13"/>
  <c r="B21" i="13"/>
  <c r="C20" i="13"/>
  <c r="B20" i="13"/>
  <c r="C19" i="13"/>
  <c r="B19" i="13"/>
  <c r="C18" i="13"/>
  <c r="B18" i="13"/>
  <c r="C17" i="13"/>
  <c r="B17" i="13"/>
  <c r="C16" i="13"/>
  <c r="B16" i="13"/>
  <c r="C15" i="13"/>
  <c r="B15" i="13"/>
  <c r="C14" i="13"/>
  <c r="B14" i="13"/>
  <c r="C13" i="13"/>
  <c r="B13" i="13"/>
  <c r="C12" i="13"/>
  <c r="B12" i="13"/>
  <c r="C11" i="13"/>
  <c r="B11" i="13"/>
  <c r="C10" i="13"/>
  <c r="B10" i="13"/>
  <c r="C9" i="13"/>
  <c r="B9" i="13"/>
  <c r="C8" i="13"/>
  <c r="B8" i="13"/>
  <c r="C7" i="13"/>
  <c r="B7" i="13"/>
  <c r="C6" i="13"/>
  <c r="B6" i="13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C92" i="11"/>
  <c r="B92" i="11"/>
  <c r="C91" i="11"/>
  <c r="B91" i="11"/>
  <c r="C90" i="11"/>
  <c r="B90" i="11"/>
  <c r="C89" i="11"/>
  <c r="B89" i="11"/>
  <c r="C88" i="11"/>
  <c r="B88" i="11"/>
  <c r="C87" i="11"/>
  <c r="B87" i="11"/>
  <c r="C86" i="11"/>
  <c r="B86" i="11"/>
  <c r="C85" i="11"/>
  <c r="B85" i="11"/>
  <c r="C84" i="11"/>
  <c r="B84" i="11"/>
  <c r="C83" i="11"/>
  <c r="B83" i="11"/>
  <c r="C82" i="11"/>
  <c r="B82" i="11"/>
  <c r="C81" i="11"/>
  <c r="B81" i="11"/>
  <c r="C80" i="11"/>
  <c r="B80" i="11"/>
  <c r="C79" i="11"/>
  <c r="B79" i="11"/>
  <c r="C78" i="11"/>
  <c r="B78" i="11"/>
  <c r="C77" i="11"/>
  <c r="B77" i="11"/>
  <c r="C76" i="11"/>
  <c r="B76" i="11"/>
  <c r="C75" i="11"/>
  <c r="B75" i="11"/>
  <c r="C74" i="11"/>
  <c r="B74" i="11"/>
  <c r="C73" i="11"/>
  <c r="B73" i="11"/>
  <c r="C72" i="11"/>
  <c r="B72" i="11"/>
  <c r="C71" i="11"/>
  <c r="B71" i="11"/>
  <c r="C70" i="11"/>
  <c r="B70" i="11"/>
  <c r="C69" i="11"/>
  <c r="B69" i="11"/>
  <c r="C68" i="11"/>
  <c r="B68" i="11"/>
  <c r="C67" i="11"/>
  <c r="B67" i="11"/>
  <c r="C66" i="11"/>
  <c r="B66" i="11"/>
  <c r="C65" i="11"/>
  <c r="B65" i="11"/>
  <c r="C64" i="11"/>
  <c r="B64" i="11"/>
  <c r="C63" i="11"/>
  <c r="B63" i="11"/>
  <c r="C62" i="11"/>
  <c r="B62" i="11"/>
  <c r="C61" i="11"/>
  <c r="B61" i="11"/>
  <c r="C60" i="11"/>
  <c r="B60" i="11"/>
  <c r="C59" i="11"/>
  <c r="B59" i="11"/>
  <c r="C58" i="11"/>
  <c r="B58" i="11"/>
  <c r="C57" i="11"/>
  <c r="B57" i="11"/>
  <c r="C56" i="11"/>
  <c r="B56" i="11"/>
  <c r="C55" i="11"/>
  <c r="B55" i="11"/>
  <c r="C54" i="11"/>
  <c r="B54" i="11"/>
  <c r="C53" i="11"/>
  <c r="B53" i="11"/>
  <c r="C52" i="11"/>
  <c r="B52" i="11"/>
  <c r="C51" i="11"/>
  <c r="B51" i="11"/>
  <c r="C50" i="11"/>
  <c r="B50" i="11"/>
  <c r="C49" i="11"/>
  <c r="B49" i="11"/>
  <c r="C48" i="11"/>
  <c r="B48" i="11"/>
  <c r="C47" i="11"/>
  <c r="B47" i="11"/>
  <c r="C46" i="11"/>
  <c r="B46" i="11"/>
  <c r="C45" i="11"/>
  <c r="B45" i="11"/>
  <c r="C44" i="11"/>
  <c r="B44" i="11"/>
  <c r="C43" i="11"/>
  <c r="B43" i="11"/>
  <c r="C42" i="11"/>
  <c r="B42" i="11"/>
  <c r="C41" i="11"/>
  <c r="B41" i="11"/>
  <c r="C40" i="11"/>
  <c r="B40" i="11"/>
  <c r="C39" i="11"/>
  <c r="B39" i="11"/>
  <c r="C38" i="11"/>
  <c r="B38" i="11"/>
  <c r="C37" i="11"/>
  <c r="B37" i="11"/>
  <c r="C36" i="11"/>
  <c r="B36" i="11"/>
  <c r="C35" i="11"/>
  <c r="B35" i="11"/>
  <c r="C34" i="11"/>
  <c r="B34" i="11"/>
  <c r="C33" i="11"/>
  <c r="B33" i="11"/>
  <c r="C32" i="11"/>
  <c r="B32" i="11"/>
  <c r="C31" i="11"/>
  <c r="B31" i="11"/>
  <c r="C30" i="11"/>
  <c r="B30" i="11"/>
  <c r="C29" i="11"/>
  <c r="B29" i="11"/>
  <c r="C28" i="11"/>
  <c r="B28" i="11"/>
  <c r="C27" i="11"/>
  <c r="B27" i="11"/>
  <c r="C26" i="11"/>
  <c r="B26" i="11"/>
  <c r="C25" i="11"/>
  <c r="B25" i="11"/>
  <c r="C24" i="11"/>
  <c r="B24" i="11"/>
  <c r="C23" i="11"/>
  <c r="B23" i="11"/>
  <c r="C22" i="11"/>
  <c r="B22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C13" i="11"/>
  <c r="B13" i="11"/>
  <c r="C12" i="11"/>
  <c r="B12" i="11"/>
  <c r="C11" i="11"/>
  <c r="B11" i="11"/>
  <c r="C10" i="11"/>
  <c r="B10" i="11"/>
  <c r="C9" i="11"/>
  <c r="B9" i="11"/>
  <c r="C8" i="11"/>
  <c r="B8" i="11"/>
  <c r="C7" i="11"/>
  <c r="B7" i="11"/>
  <c r="C6" i="11"/>
  <c r="B6" i="11"/>
  <c r="C79" i="10"/>
  <c r="B79" i="10"/>
  <c r="C78" i="10"/>
  <c r="B78" i="10"/>
  <c r="C77" i="10"/>
  <c r="B77" i="10"/>
  <c r="C76" i="10"/>
  <c r="B76" i="10"/>
  <c r="C75" i="10"/>
  <c r="B75" i="10"/>
  <c r="C74" i="10"/>
  <c r="B74" i="10"/>
  <c r="C73" i="10"/>
  <c r="B73" i="10"/>
  <c r="C72" i="10"/>
  <c r="B72" i="10"/>
  <c r="C71" i="10"/>
  <c r="B71" i="10"/>
  <c r="C70" i="10"/>
  <c r="B70" i="10"/>
  <c r="C69" i="10"/>
  <c r="B69" i="10"/>
  <c r="C68" i="10"/>
  <c r="B68" i="10"/>
  <c r="C67" i="10"/>
  <c r="B67" i="10"/>
  <c r="C66" i="10"/>
  <c r="B66" i="10"/>
  <c r="C65" i="10"/>
  <c r="B65" i="10"/>
  <c r="C64" i="10"/>
  <c r="B64" i="10"/>
  <c r="C63" i="10"/>
  <c r="B63" i="10"/>
  <c r="C62" i="10"/>
  <c r="B62" i="10"/>
  <c r="C61" i="10"/>
  <c r="B61" i="10"/>
  <c r="C60" i="10"/>
  <c r="B60" i="10"/>
  <c r="C59" i="10"/>
  <c r="B59" i="10"/>
  <c r="C58" i="10"/>
  <c r="B58" i="10"/>
  <c r="C57" i="10"/>
  <c r="B57" i="10"/>
  <c r="C56" i="10"/>
  <c r="B56" i="10"/>
  <c r="C55" i="10"/>
  <c r="B55" i="10"/>
  <c r="C54" i="10"/>
  <c r="B54" i="10"/>
  <c r="C53" i="10"/>
  <c r="B53" i="10"/>
  <c r="C52" i="10"/>
  <c r="B52" i="10"/>
  <c r="C51" i="10"/>
  <c r="B51" i="10"/>
  <c r="C50" i="10"/>
  <c r="B50" i="10"/>
  <c r="C49" i="10"/>
  <c r="B49" i="10"/>
  <c r="C48" i="10"/>
  <c r="B48" i="10"/>
  <c r="C47" i="10"/>
  <c r="B47" i="10"/>
  <c r="C46" i="10"/>
  <c r="B46" i="10"/>
  <c r="C45" i="10"/>
  <c r="B45" i="10"/>
  <c r="C44" i="10"/>
  <c r="B44" i="10"/>
  <c r="C43" i="10"/>
  <c r="B43" i="10"/>
  <c r="C42" i="10"/>
  <c r="B42" i="10"/>
  <c r="C41" i="10"/>
  <c r="B41" i="10"/>
  <c r="C40" i="10"/>
  <c r="B40" i="10"/>
  <c r="C39" i="10"/>
  <c r="B39" i="10"/>
  <c r="C38" i="10"/>
  <c r="B38" i="10"/>
  <c r="C37" i="10"/>
  <c r="B37" i="10"/>
  <c r="C36" i="10"/>
  <c r="B36" i="10"/>
  <c r="C35" i="10"/>
  <c r="B35" i="10"/>
  <c r="C34" i="10"/>
  <c r="B34" i="10"/>
  <c r="C33" i="10"/>
  <c r="B33" i="10"/>
  <c r="C32" i="10"/>
  <c r="B32" i="10"/>
  <c r="C31" i="10"/>
  <c r="B31" i="10"/>
  <c r="C30" i="10"/>
  <c r="B30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21" i="10"/>
  <c r="B21" i="10"/>
  <c r="C20" i="10"/>
  <c r="B20" i="10"/>
  <c r="C19" i="10"/>
  <c r="B19" i="10"/>
  <c r="C18" i="10"/>
  <c r="B18" i="10"/>
  <c r="C17" i="10"/>
  <c r="B17" i="10"/>
  <c r="C16" i="10"/>
  <c r="B16" i="10"/>
  <c r="C15" i="10"/>
  <c r="B15" i="10"/>
  <c r="C14" i="10"/>
  <c r="B14" i="10"/>
  <c r="C13" i="10"/>
  <c r="B13" i="10"/>
  <c r="C12" i="10"/>
  <c r="B12" i="10"/>
  <c r="C11" i="10"/>
  <c r="B11" i="10"/>
  <c r="C10" i="10"/>
  <c r="B10" i="10"/>
  <c r="C9" i="10"/>
  <c r="B9" i="10"/>
  <c r="C8" i="10"/>
  <c r="B8" i="10"/>
  <c r="C7" i="10"/>
  <c r="B7" i="10"/>
  <c r="C6" i="10"/>
  <c r="B6" i="10"/>
  <c r="C90" i="9"/>
  <c r="B90" i="9"/>
  <c r="C89" i="9"/>
  <c r="B89" i="9"/>
  <c r="C88" i="9"/>
  <c r="B88" i="9"/>
  <c r="C87" i="9"/>
  <c r="B87" i="9"/>
  <c r="C86" i="9"/>
  <c r="B86" i="9"/>
  <c r="C85" i="9"/>
  <c r="B85" i="9"/>
  <c r="C84" i="9"/>
  <c r="B84" i="9"/>
  <c r="C83" i="9"/>
  <c r="B83" i="9"/>
  <c r="C82" i="9"/>
  <c r="B82" i="9"/>
  <c r="C81" i="9"/>
  <c r="B81" i="9"/>
  <c r="C80" i="9"/>
  <c r="B80" i="9"/>
  <c r="C79" i="9"/>
  <c r="B79" i="9"/>
  <c r="C78" i="9"/>
  <c r="B78" i="9"/>
  <c r="C77" i="9"/>
  <c r="B77" i="9"/>
  <c r="C76" i="9"/>
  <c r="B76" i="9"/>
  <c r="C75" i="9"/>
  <c r="B75" i="9"/>
  <c r="C74" i="9"/>
  <c r="B74" i="9"/>
  <c r="C73" i="9"/>
  <c r="B73" i="9"/>
  <c r="C72" i="9"/>
  <c r="B72" i="9"/>
  <c r="C71" i="9"/>
  <c r="B71" i="9"/>
  <c r="C70" i="9"/>
  <c r="B70" i="9"/>
  <c r="C69" i="9"/>
  <c r="B69" i="9"/>
  <c r="C68" i="9"/>
  <c r="B68" i="9"/>
  <c r="C67" i="9"/>
  <c r="B67" i="9"/>
  <c r="C66" i="9"/>
  <c r="B66" i="9"/>
  <c r="C65" i="9"/>
  <c r="B65" i="9"/>
  <c r="C64" i="9"/>
  <c r="B64" i="9"/>
  <c r="C63" i="9"/>
  <c r="B63" i="9"/>
  <c r="C62" i="9"/>
  <c r="B62" i="9"/>
  <c r="C61" i="9"/>
  <c r="B61" i="9"/>
  <c r="C60" i="9"/>
  <c r="B60" i="9"/>
  <c r="C59" i="9"/>
  <c r="B59" i="9"/>
  <c r="C58" i="9"/>
  <c r="B58" i="9"/>
  <c r="C57" i="9"/>
  <c r="B57" i="9"/>
  <c r="C56" i="9"/>
  <c r="B56" i="9"/>
  <c r="C55" i="9"/>
  <c r="B55" i="9"/>
  <c r="C54" i="9"/>
  <c r="B54" i="9"/>
  <c r="C53" i="9"/>
  <c r="B53" i="9"/>
  <c r="C52" i="9"/>
  <c r="B52" i="9"/>
  <c r="C51" i="9"/>
  <c r="B51" i="9"/>
  <c r="C50" i="9"/>
  <c r="B50" i="9"/>
  <c r="C49" i="9"/>
  <c r="B49" i="9"/>
  <c r="C48" i="9"/>
  <c r="B48" i="9"/>
  <c r="C47" i="9"/>
  <c r="B47" i="9"/>
  <c r="C46" i="9"/>
  <c r="B46" i="9"/>
  <c r="C45" i="9"/>
  <c r="B45" i="9"/>
  <c r="C44" i="9"/>
  <c r="B44" i="9"/>
  <c r="C43" i="9"/>
  <c r="B43" i="9"/>
  <c r="C42" i="9"/>
  <c r="B42" i="9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5" i="8"/>
  <c r="B55" i="8"/>
  <c r="C54" i="8"/>
  <c r="B54" i="8"/>
  <c r="C53" i="8"/>
  <c r="B53" i="8"/>
  <c r="C52" i="8"/>
  <c r="B52" i="8"/>
  <c r="C51" i="8"/>
  <c r="B51" i="8"/>
  <c r="C50" i="8"/>
  <c r="B50" i="8"/>
  <c r="C49" i="8"/>
  <c r="B49" i="8"/>
  <c r="C48" i="8"/>
  <c r="B48" i="8"/>
  <c r="C47" i="8"/>
  <c r="B47" i="8"/>
  <c r="C46" i="8"/>
  <c r="B46" i="8"/>
  <c r="C45" i="8"/>
  <c r="B45" i="8"/>
  <c r="C44" i="8"/>
  <c r="B44" i="8"/>
  <c r="C43" i="8"/>
  <c r="B43" i="8"/>
  <c r="C42" i="8"/>
  <c r="B42" i="8"/>
  <c r="C41" i="8"/>
  <c r="B41" i="8"/>
  <c r="C40" i="8"/>
  <c r="B40" i="8"/>
  <c r="C39" i="8"/>
  <c r="B39" i="8"/>
  <c r="C38" i="8"/>
  <c r="B38" i="8"/>
  <c r="C37" i="8"/>
  <c r="B37" i="8"/>
  <c r="C36" i="8"/>
  <c r="B36" i="8"/>
  <c r="C35" i="8"/>
  <c r="B35" i="8"/>
  <c r="C34" i="8"/>
  <c r="B34" i="8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7" i="7"/>
  <c r="B7" i="7"/>
  <c r="C6" i="7"/>
  <c r="B6" i="7"/>
  <c r="C68" i="6"/>
  <c r="B68" i="6"/>
  <c r="C67" i="6"/>
  <c r="B67" i="6"/>
  <c r="C66" i="6"/>
  <c r="B66" i="6"/>
  <c r="C65" i="6"/>
  <c r="B65" i="6"/>
  <c r="C64" i="6"/>
  <c r="B64" i="6"/>
  <c r="C63" i="6"/>
  <c r="B63" i="6"/>
  <c r="C62" i="6"/>
  <c r="B62" i="6"/>
  <c r="C61" i="6"/>
  <c r="B61" i="6"/>
  <c r="C60" i="6"/>
  <c r="B60" i="6"/>
  <c r="C59" i="6"/>
  <c r="B59" i="6"/>
  <c r="C58" i="6"/>
  <c r="B58" i="6"/>
  <c r="C57" i="6"/>
  <c r="B57" i="6"/>
  <c r="C56" i="6"/>
  <c r="B56" i="6"/>
  <c r="C55" i="6"/>
  <c r="B55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C9" i="4"/>
  <c r="B9" i="4"/>
  <c r="C8" i="4"/>
  <c r="B8" i="4"/>
  <c r="C7" i="4"/>
  <c r="B7" i="4"/>
  <c r="C6" i="4"/>
  <c r="B6" i="4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C171" i="18"/>
  <c r="B171" i="18"/>
  <c r="C170" i="18"/>
  <c r="B170" i="18"/>
  <c r="C169" i="18"/>
  <c r="B169" i="18"/>
  <c r="C168" i="18"/>
  <c r="B168" i="18"/>
  <c r="C167" i="18"/>
  <c r="B167" i="18"/>
  <c r="C166" i="18"/>
  <c r="B166" i="18"/>
  <c r="C165" i="18"/>
  <c r="B165" i="18"/>
  <c r="C164" i="18"/>
  <c r="B164" i="18"/>
  <c r="C163" i="18"/>
  <c r="B163" i="18"/>
  <c r="C162" i="18"/>
  <c r="B162" i="18"/>
  <c r="C161" i="18"/>
  <c r="B161" i="18"/>
  <c r="C160" i="18"/>
  <c r="B160" i="18"/>
  <c r="C159" i="18"/>
  <c r="B159" i="18"/>
  <c r="C158" i="18"/>
  <c r="B158" i="18"/>
  <c r="C157" i="18"/>
  <c r="B157" i="18"/>
  <c r="C156" i="18"/>
  <c r="B156" i="18"/>
  <c r="C155" i="18"/>
  <c r="B155" i="18"/>
  <c r="C154" i="18"/>
  <c r="B154" i="18"/>
  <c r="C153" i="18"/>
  <c r="B153" i="18"/>
  <c r="C152" i="18"/>
  <c r="B152" i="18"/>
  <c r="C151" i="18"/>
  <c r="B151" i="18"/>
  <c r="C150" i="18"/>
  <c r="B150" i="18"/>
  <c r="C149" i="18"/>
  <c r="B149" i="18"/>
  <c r="C148" i="18"/>
  <c r="B148" i="18"/>
  <c r="C147" i="18"/>
  <c r="B147" i="18"/>
  <c r="C146" i="18"/>
  <c r="B146" i="18"/>
  <c r="C145" i="18"/>
  <c r="B145" i="18"/>
  <c r="C144" i="18"/>
  <c r="B144" i="18"/>
  <c r="C143" i="18"/>
  <c r="B143" i="18"/>
  <c r="C142" i="18"/>
  <c r="B142" i="18"/>
  <c r="C141" i="18"/>
  <c r="B141" i="18"/>
  <c r="C140" i="18"/>
  <c r="B140" i="18"/>
  <c r="C139" i="18"/>
  <c r="B139" i="18"/>
  <c r="C138" i="18"/>
  <c r="B138" i="18"/>
  <c r="C137" i="18"/>
  <c r="B137" i="18"/>
  <c r="C136" i="18"/>
  <c r="B136" i="18"/>
  <c r="C135" i="18"/>
  <c r="B135" i="18"/>
  <c r="C134" i="18"/>
  <c r="B134" i="18"/>
  <c r="C133" i="18"/>
  <c r="B133" i="18"/>
  <c r="C132" i="18"/>
  <c r="B132" i="18"/>
  <c r="C131" i="18"/>
  <c r="B131" i="18"/>
  <c r="C130" i="18"/>
  <c r="B130" i="18"/>
  <c r="C129" i="18"/>
  <c r="B129" i="18"/>
  <c r="C128" i="18"/>
  <c r="B128" i="18"/>
  <c r="C127" i="18"/>
  <c r="B127" i="18"/>
  <c r="C126" i="18"/>
  <c r="B126" i="18"/>
  <c r="C125" i="18"/>
  <c r="B125" i="18"/>
  <c r="C124" i="18"/>
  <c r="B124" i="18"/>
  <c r="C123" i="18"/>
  <c r="B123" i="18"/>
  <c r="C122" i="18"/>
  <c r="B122" i="18"/>
  <c r="C121" i="18"/>
  <c r="B121" i="18"/>
  <c r="C120" i="18"/>
  <c r="B120" i="18"/>
  <c r="C119" i="18"/>
  <c r="B119" i="18"/>
  <c r="C118" i="18"/>
  <c r="B118" i="18"/>
  <c r="C117" i="18"/>
  <c r="B117" i="18"/>
  <c r="C116" i="18"/>
  <c r="B116" i="18"/>
  <c r="C115" i="18"/>
  <c r="B115" i="18"/>
  <c r="C114" i="18"/>
  <c r="B114" i="18"/>
  <c r="C113" i="18"/>
  <c r="B113" i="18"/>
  <c r="C112" i="18"/>
  <c r="B112" i="18"/>
  <c r="C111" i="18"/>
  <c r="B111" i="18"/>
  <c r="C110" i="18"/>
  <c r="B110" i="18"/>
  <c r="C109" i="18"/>
  <c r="B109" i="18"/>
  <c r="C108" i="18"/>
  <c r="B108" i="18"/>
  <c r="C107" i="18"/>
  <c r="B107" i="18"/>
  <c r="C106" i="18"/>
  <c r="B106" i="18"/>
  <c r="C105" i="18"/>
  <c r="B105" i="18"/>
  <c r="C104" i="18"/>
  <c r="B104" i="18"/>
  <c r="C103" i="18"/>
  <c r="B103" i="18"/>
  <c r="C102" i="18"/>
  <c r="B102" i="18"/>
  <c r="C101" i="18"/>
  <c r="B101" i="18"/>
  <c r="C100" i="18"/>
  <c r="B100" i="18"/>
  <c r="C99" i="18"/>
  <c r="B99" i="18"/>
  <c r="C98" i="18"/>
  <c r="B98" i="18"/>
  <c r="C97" i="18"/>
  <c r="B97" i="18"/>
  <c r="C96" i="18"/>
  <c r="B96" i="18"/>
  <c r="C95" i="18"/>
  <c r="B95" i="18"/>
  <c r="C94" i="18"/>
  <c r="B94" i="18"/>
  <c r="C93" i="18"/>
  <c r="B93" i="18"/>
  <c r="C92" i="18"/>
  <c r="B92" i="18"/>
  <c r="C91" i="18"/>
  <c r="B91" i="18"/>
  <c r="C90" i="18"/>
  <c r="B90" i="18"/>
  <c r="C89" i="18"/>
  <c r="B89" i="18"/>
  <c r="C88" i="18"/>
  <c r="B88" i="18"/>
  <c r="C87" i="18"/>
  <c r="B87" i="18"/>
  <c r="C86" i="18"/>
  <c r="B86" i="18"/>
  <c r="C85" i="18"/>
  <c r="B85" i="18"/>
  <c r="C84" i="18"/>
  <c r="B84" i="18"/>
  <c r="C83" i="18"/>
  <c r="B83" i="18"/>
  <c r="C82" i="18"/>
  <c r="B82" i="18"/>
  <c r="C81" i="18"/>
  <c r="B81" i="18"/>
  <c r="C80" i="18"/>
  <c r="B80" i="18"/>
  <c r="C79" i="18"/>
  <c r="B79" i="18"/>
  <c r="C78" i="18"/>
  <c r="B78" i="18"/>
  <c r="C77" i="18"/>
  <c r="B77" i="18"/>
  <c r="C76" i="18"/>
  <c r="B76" i="18"/>
  <c r="C75" i="18"/>
  <c r="B75" i="18"/>
  <c r="C74" i="18"/>
  <c r="B74" i="18"/>
  <c r="C73" i="18"/>
  <c r="B73" i="18"/>
  <c r="C72" i="18"/>
  <c r="B72" i="18"/>
  <c r="C71" i="18"/>
  <c r="B71" i="18"/>
  <c r="C70" i="18"/>
  <c r="B70" i="18"/>
  <c r="C69" i="18"/>
  <c r="B69" i="18"/>
  <c r="C68" i="18"/>
  <c r="B68" i="18"/>
  <c r="C67" i="18"/>
  <c r="B67" i="18"/>
  <c r="C66" i="18"/>
  <c r="B66" i="18"/>
  <c r="C65" i="18"/>
  <c r="B65" i="18"/>
  <c r="C64" i="18"/>
  <c r="B64" i="18"/>
  <c r="C63" i="18"/>
  <c r="B63" i="18"/>
  <c r="C62" i="18"/>
  <c r="B62" i="18"/>
  <c r="C61" i="18"/>
  <c r="B61" i="18"/>
  <c r="C60" i="18"/>
  <c r="B60" i="18"/>
  <c r="C59" i="18"/>
  <c r="B59" i="18"/>
  <c r="C58" i="18"/>
  <c r="B58" i="18"/>
  <c r="C57" i="18"/>
  <c r="B57" i="18"/>
  <c r="C56" i="18"/>
  <c r="B56" i="18"/>
  <c r="C55" i="18"/>
  <c r="B55" i="18"/>
  <c r="C54" i="18"/>
  <c r="B54" i="18"/>
  <c r="C53" i="18"/>
  <c r="B53" i="18"/>
  <c r="C52" i="18"/>
  <c r="B52" i="18"/>
  <c r="C51" i="18"/>
  <c r="B51" i="18"/>
  <c r="C50" i="18"/>
  <c r="B50" i="18"/>
  <c r="C49" i="18"/>
  <c r="B49" i="18"/>
  <c r="C48" i="18"/>
  <c r="B48" i="18"/>
  <c r="C47" i="18"/>
  <c r="B47" i="18"/>
  <c r="C46" i="18"/>
  <c r="B46" i="18"/>
  <c r="C45" i="18"/>
  <c r="B45" i="18"/>
  <c r="C44" i="18"/>
  <c r="B44" i="18"/>
  <c r="C43" i="18"/>
  <c r="B43" i="18"/>
  <c r="C42" i="18"/>
  <c r="B42" i="18"/>
  <c r="C41" i="18"/>
  <c r="B41" i="18"/>
  <c r="C40" i="18"/>
  <c r="B40" i="18"/>
  <c r="C39" i="18"/>
  <c r="B39" i="18"/>
  <c r="C38" i="18"/>
  <c r="B38" i="18"/>
  <c r="C37" i="18"/>
  <c r="B37" i="18"/>
  <c r="C36" i="18"/>
  <c r="B36" i="18"/>
  <c r="C35" i="18"/>
  <c r="B35" i="18"/>
  <c r="C34" i="18"/>
  <c r="B34" i="18"/>
  <c r="C33" i="18"/>
  <c r="B33" i="18"/>
  <c r="C32" i="18"/>
  <c r="B32" i="18"/>
  <c r="C31" i="18"/>
  <c r="B31" i="18"/>
  <c r="C30" i="18"/>
  <c r="B30" i="18"/>
  <c r="C29" i="18"/>
  <c r="B29" i="18"/>
  <c r="C28" i="18"/>
  <c r="B28" i="18"/>
  <c r="C27" i="18"/>
  <c r="B27" i="18"/>
  <c r="C26" i="18"/>
  <c r="B26" i="18"/>
  <c r="C25" i="18"/>
  <c r="B25" i="18"/>
  <c r="C24" i="18"/>
  <c r="B24" i="18"/>
  <c r="C23" i="18"/>
  <c r="B23" i="18"/>
  <c r="C22" i="18"/>
  <c r="B22" i="18"/>
  <c r="C21" i="18"/>
  <c r="B21" i="18"/>
  <c r="C20" i="18"/>
  <c r="B20" i="18"/>
  <c r="C19" i="18"/>
  <c r="B19" i="18"/>
  <c r="C18" i="18"/>
  <c r="B18" i="18"/>
  <c r="C17" i="18"/>
  <c r="B17" i="18"/>
  <c r="C16" i="18"/>
  <c r="B16" i="18"/>
  <c r="C15" i="18"/>
  <c r="B15" i="18"/>
  <c r="C14" i="18"/>
  <c r="B14" i="18"/>
  <c r="C13" i="18"/>
  <c r="B13" i="18"/>
  <c r="C12" i="18"/>
  <c r="B12" i="18"/>
  <c r="C11" i="18"/>
  <c r="B11" i="18"/>
  <c r="C10" i="18"/>
  <c r="B10" i="18"/>
  <c r="C9" i="18"/>
  <c r="B9" i="18"/>
  <c r="C8" i="18"/>
  <c r="B8" i="18"/>
  <c r="C7" i="18"/>
  <c r="B7" i="18"/>
  <c r="C6" i="18"/>
  <c r="B6" i="18"/>
</calcChain>
</file>

<file path=xl/sharedStrings.xml><?xml version="1.0" encoding="utf-8"?>
<sst xmlns="http://schemas.openxmlformats.org/spreadsheetml/2006/main" count="3725" uniqueCount="428">
  <si>
    <t>DATE</t>
  </si>
  <si>
    <t>DAY</t>
  </si>
  <si>
    <t>WEEK</t>
  </si>
  <si>
    <t>SIC</t>
  </si>
  <si>
    <t>PTW NOVADE</t>
  </si>
  <si>
    <t>EMERGENCY RESPONSE</t>
  </si>
  <si>
    <t>FIRE WATCH</t>
  </si>
  <si>
    <t>CHEMICAL HANDLING</t>
  </si>
  <si>
    <t>WASTE MANAGEMENT</t>
  </si>
  <si>
    <t>ELECTRICAL SAFETY</t>
  </si>
  <si>
    <t>PPE AWARENESS</t>
  </si>
  <si>
    <t>HAND TOOLS &amp; POWER TOOLS SAFETY</t>
  </si>
  <si>
    <t>COMPANY</t>
  </si>
  <si>
    <t>CATEGORY</t>
  </si>
  <si>
    <t>MANDAY</t>
  </si>
  <si>
    <t>MANHOUR</t>
  </si>
  <si>
    <t>POM OFFICE STAFF</t>
  </si>
  <si>
    <t>MAIN CONTRACTOR</t>
  </si>
  <si>
    <t>POM SITE WORKERS</t>
  </si>
  <si>
    <t>POC</t>
  </si>
  <si>
    <t>GEOMETRA</t>
  </si>
  <si>
    <t>SUB-CONTRACTOR</t>
  </si>
  <si>
    <t>K-ROTARY</t>
  </si>
  <si>
    <t>STARWORK SOLUTION</t>
  </si>
  <si>
    <t>MILLENIUM</t>
  </si>
  <si>
    <t>GEOLAB</t>
  </si>
  <si>
    <t>TWINSTEEL</t>
  </si>
  <si>
    <t>JK HIDRO</t>
  </si>
  <si>
    <t>SECURITY</t>
  </si>
  <si>
    <t>ANTARAKOH</t>
  </si>
  <si>
    <t>SECURITY BOAT</t>
  </si>
  <si>
    <t>PASSENGER BOAT</t>
  </si>
  <si>
    <t>FATALITY</t>
  </si>
  <si>
    <t>LTI</t>
  </si>
  <si>
    <t>RWC</t>
  </si>
  <si>
    <t>MTC</t>
  </si>
  <si>
    <t>FAC</t>
  </si>
  <si>
    <t>DANGEROUS OCCURANCE</t>
  </si>
  <si>
    <t>PROPERTY DAMAGE</t>
  </si>
  <si>
    <t>NEAR MISS</t>
  </si>
  <si>
    <t>FIRE INCIDENT</t>
  </si>
  <si>
    <t>REGULATORY NON COMPLIANCE</t>
  </si>
  <si>
    <t>LoPC</t>
  </si>
  <si>
    <t>HSE INDUCTION</t>
  </si>
  <si>
    <t>TOOLBOX MEETING</t>
  </si>
  <si>
    <t>HSE COORDINATION MEETING</t>
  </si>
  <si>
    <t>HSE COMMITTEE MEETING</t>
  </si>
  <si>
    <t>EMERGENCY DRILL</t>
  </si>
  <si>
    <t>WORKPLACE INSPECTION</t>
  </si>
  <si>
    <t>HSE WALKABOUT</t>
  </si>
  <si>
    <t>WEEKLY HOUSEKEEPING</t>
  </si>
  <si>
    <t>BESAFE CARD</t>
  </si>
  <si>
    <t>HSE CAMPAIGN</t>
  </si>
  <si>
    <t>REWARDS &amp; RECOGNITION</t>
  </si>
  <si>
    <t>CONSEQUENCE MANAGEMENT</t>
  </si>
  <si>
    <t>No</t>
  </si>
  <si>
    <t>BSC No</t>
  </si>
  <si>
    <t>BSC Type</t>
  </si>
  <si>
    <t>Hazard Type RAW</t>
  </si>
  <si>
    <t>Hazard Type</t>
  </si>
  <si>
    <t>Date Reported</t>
  </si>
  <si>
    <t>Week</t>
  </si>
  <si>
    <t>Date Observed</t>
  </si>
  <si>
    <t>Observed By</t>
  </si>
  <si>
    <t>Company</t>
  </si>
  <si>
    <t>Position</t>
  </si>
  <si>
    <t>What and where hazard/act observed and
discussed with worker/supervisor/manager?</t>
  </si>
  <si>
    <t>Status</t>
  </si>
  <si>
    <t>BSC2026_13672</t>
  </si>
  <si>
    <t>Suggestion for Improvement</t>
  </si>
  <si>
    <t>NA</t>
  </si>
  <si>
    <t>Marzuki</t>
  </si>
  <si>
    <t>DIALOG</t>
  </si>
  <si>
    <t>HSE</t>
  </si>
  <si>
    <t>Resting shelter in between temporary workshop, expoaed to saw dust and noise</t>
  </si>
  <si>
    <t>Pending for review</t>
  </si>
  <si>
    <t>BSC2026_13673</t>
  </si>
  <si>
    <t>Safe Condition</t>
  </si>
  <si>
    <t>Warning sign of the venomous animals Along the acess road</t>
  </si>
  <si>
    <t>BSC2026_13731</t>
  </si>
  <si>
    <t>Good Catch</t>
  </si>
  <si>
    <t>Nazrul</t>
  </si>
  <si>
    <t>POM</t>
  </si>
  <si>
    <t>Housekeeping cigarette butt at shelter area</t>
  </si>
  <si>
    <t>BSC2026_13775</t>
  </si>
  <si>
    <t>Zaidi</t>
  </si>
  <si>
    <t>Astray ada potensi kebakaran bahan dari kayu</t>
  </si>
  <si>
    <t>BSC2026_13777</t>
  </si>
  <si>
    <t>Unsafe Condition</t>
  </si>
  <si>
    <t>Inadequate Warning System</t>
  </si>
  <si>
    <t>Resting shed near with the fabrication workshop</t>
  </si>
  <si>
    <t>BSC2026_13778</t>
  </si>
  <si>
    <t>TUAN IKHWAN BIN TUAN NAZAM</t>
  </si>
  <si>
    <t>Observed caution for snake near the bush avoiding any oersonnel walking nearby bush area</t>
  </si>
  <si>
    <t>BSC2026_13780</t>
  </si>
  <si>
    <t>Inadequate Guards or Barriers</t>
  </si>
  <si>
    <t>NASUHA DAYANA</t>
  </si>
  <si>
    <t>Observed barricade rope has been attached to the backhow bucket</t>
  </si>
  <si>
    <t>BSC2026_13782</t>
  </si>
  <si>
    <t>Poor Housekeeping/Disorder</t>
  </si>
  <si>
    <t>Observed domestic waste was mixed inside metal scrap waste bin at site</t>
  </si>
  <si>
    <t>BSC2026_13789</t>
  </si>
  <si>
    <t>Observed barricade was installed very near to the edge at crane platform of CJ3</t>
  </si>
  <si>
    <t>BSC2026_13795</t>
  </si>
  <si>
    <t>Ismail ahmad</t>
  </si>
  <si>
    <t>Khemah untuk pekerja berehat telah dipasang dikawasan tempat kerja.kawasan tersebut berdekatan dengan laut dan keadaan angin ada masanya kuat.</t>
  </si>
  <si>
    <t>BSC2026_13796</t>
  </si>
  <si>
    <t>Puntung rokok yg dibuang  boleh menyebabkan kebakaran.</t>
  </si>
  <si>
    <t>BSC2026_13797</t>
  </si>
  <si>
    <t>Install barricade and signage before start work</t>
  </si>
  <si>
    <t>BSC2026_13808</t>
  </si>
  <si>
    <t>Mohd Radhzmir</t>
  </si>
  <si>
    <t>General lifting during pouring concrete the berricade and signage not visible.</t>
  </si>
  <si>
    <t>BSC2026_13812</t>
  </si>
  <si>
    <t>Permehatian mendapati kekurangan tanda papan amaran di kawasan crane barge and flat barge berdekatan gigi air.</t>
  </si>
  <si>
    <t>BSC2026_13842</t>
  </si>
  <si>
    <t>Unsafe Act</t>
  </si>
  <si>
    <t>Others</t>
  </si>
  <si>
    <t>Oversize of wood in roro bin and have protuding nail.</t>
  </si>
  <si>
    <t>BSC2026_13939</t>
  </si>
  <si>
    <t>Awerness banner install at site</t>
  </si>
  <si>
    <t>BSC2026_13940</t>
  </si>
  <si>
    <t>Tong sampah berasingan disediakan disite. 3R</t>
  </si>
  <si>
    <t>BSC2026_13941</t>
  </si>
  <si>
    <t>Senaman pagi sebelum toolbox
Baik untuk kesihatan</t>
  </si>
  <si>
    <t>BSC2026_13942</t>
  </si>
  <si>
    <t>Defective Tools, Equipment or Materials</t>
  </si>
  <si>
    <t>Equipment not have emergency stop button. Original from manufacture</t>
  </si>
  <si>
    <t>BSC2026_13950</t>
  </si>
  <si>
    <t>Storage area full barricade without access</t>
  </si>
  <si>
    <t>BSC2026_13952</t>
  </si>
  <si>
    <t>Letak dan pasang info2 berkaitan kerja dan safety di atas barge</t>
  </si>
  <si>
    <t>BSC2026_13953</t>
  </si>
  <si>
    <t>BSC2026_13954</t>
  </si>
  <si>
    <t>Pasang barricade pada anchor barge yang di letakkan di darat</t>
  </si>
  <si>
    <t>BSC2026_13955</t>
  </si>
  <si>
    <t>Portable toilet in good condition and clean. No scattered water bottle inside the toilet.</t>
  </si>
  <si>
    <t>BSC2026_13958</t>
  </si>
  <si>
    <t>Permukaan batu licin untuk access ke barge menggunakan floater</t>
  </si>
  <si>
    <t>BSC2026_13959</t>
  </si>
  <si>
    <t>According to increasing of the workers. Rest shelter need to be add on. Between maincon and subcontractors.</t>
  </si>
  <si>
    <t>BSC2026_13975</t>
  </si>
  <si>
    <t>Hazardous Environmental Condition</t>
  </si>
  <si>
    <t>Schedule Waste</t>
  </si>
  <si>
    <t>Nahar</t>
  </si>
  <si>
    <t>Tak dilampirkan sds pada storage chemical di barge ak88</t>
  </si>
  <si>
    <t>BSC2026_13978</t>
  </si>
  <si>
    <t>Soap test checklist for gas oxygen and ecertylene not filled in. The  Worker forgot.</t>
  </si>
  <si>
    <t>BSC2026_13979</t>
  </si>
  <si>
    <t>Safe Act</t>
  </si>
  <si>
    <t>Life jacket and workers jacket always worn when on the barge.</t>
  </si>
  <si>
    <t>BSC2026_13980</t>
  </si>
  <si>
    <t>Improper Lifting</t>
  </si>
  <si>
    <t>Lori membawa beban rebbar terkeluar dari landasan bucket lori bahaya kepada kenderaan berdekatan dengannya.</t>
  </si>
  <si>
    <t>BSC2026_14032</t>
  </si>
  <si>
    <t>Material, equipment mixed. Timber and angle bar not proper storage or separate.</t>
  </si>
  <si>
    <t>BSC2026_14109</t>
  </si>
  <si>
    <t>Lifting gear without loadtest</t>
  </si>
  <si>
    <t>BSC2026_14111</t>
  </si>
  <si>
    <t>Roll pipe not enough stopper</t>
  </si>
  <si>
    <t>BSC2026_14112</t>
  </si>
  <si>
    <t>Barge using soft barricade.</t>
  </si>
  <si>
    <t>BSC2026_14114</t>
  </si>
  <si>
    <t>Life boy in good condition. But inadequate pulling rope.</t>
  </si>
  <si>
    <t>BSC2026_14115</t>
  </si>
  <si>
    <t>Drinking plastic hanging and discarded beverage cans were not thrown into the trash bin.</t>
  </si>
  <si>
    <t>BSC2026_14140</t>
  </si>
  <si>
    <t>AJ</t>
  </si>
  <si>
    <t>AKM</t>
  </si>
  <si>
    <t>WORKER</t>
  </si>
  <si>
    <t>CJ3</t>
  </si>
  <si>
    <t>BSC2026_14166</t>
  </si>
  <si>
    <t>Laluan terhalang oleh material</t>
  </si>
  <si>
    <t>BSC2026_14186</t>
  </si>
  <si>
    <t>Muhammad Hosni Ruslan</t>
  </si>
  <si>
    <t>MANAGEMENT</t>
  </si>
  <si>
    <t>What: Floater to construct the Loadout Jetty
Where: CJ3</t>
  </si>
  <si>
    <t>BSC2026_14193</t>
  </si>
  <si>
    <t>What: Good Signage for reminder from a biological hazard
Where: CJ3</t>
  </si>
  <si>
    <t>BSC2026_14197</t>
  </si>
  <si>
    <t>Failing to Use PPE Properly</t>
  </si>
  <si>
    <t>What: Insufficient signage almost led to the in insufficient PPE 
Where: Loadout Jetty, CJ3</t>
  </si>
  <si>
    <t>BSC2026_14223</t>
  </si>
  <si>
    <t>Inadequate or Improper Protective Equipment</t>
  </si>
  <si>
    <t>Observed worker did not wear dust mask when swiping slab during housekeeping</t>
  </si>
  <si>
    <t>BSC2026_14465</t>
  </si>
  <si>
    <t>Resting shelter to segregate from workshop</t>
  </si>
  <si>
    <t>Closed</t>
  </si>
  <si>
    <t>BSC2026_14545</t>
  </si>
  <si>
    <t>Zubaidi Rani</t>
  </si>
  <si>
    <t>Observed a banksman that give guidance to crane operator put himself under the crane boom radius and standing on concrete slab.</t>
  </si>
  <si>
    <t>BSC2026_14569</t>
  </si>
  <si>
    <t>Jemaidi bin Abu bakar</t>
  </si>
  <si>
    <t>SUPERVISOR</t>
  </si>
  <si>
    <t>Lifting cara selamat</t>
  </si>
  <si>
    <t>BSC2026_14570</t>
  </si>
  <si>
    <t>Nazrul bin jamaludin</t>
  </si>
  <si>
    <t>Pasang signage untuk laluan dan storage area</t>
  </si>
  <si>
    <t>BSC2026_14571</t>
  </si>
  <si>
    <t>Ramlee bin Harun</t>
  </si>
  <si>
    <t>2 org perkerja rehat  dalam box culvert sambil buka sefty helmet</t>
  </si>
  <si>
    <t>BSC2026_14572</t>
  </si>
  <si>
    <t>Welding cabel terendam dalam air laut</t>
  </si>
  <si>
    <t>BSC2026_14573</t>
  </si>
  <si>
    <t>Baricage dan saines yg proprer</t>
  </si>
  <si>
    <t>BSC2026_14651</t>
  </si>
  <si>
    <t>Kiew Huai Pau</t>
  </si>
  <si>
    <t>during HSE MGMT Walkabout at marine epc site, observed that area was well organized, site is clear/ tidy, work loc is well segregated, waste bins x3 provided to segregate waste, casting area separated from piling prep area.
META Ocean is familiar with DIALOG way of working</t>
  </si>
  <si>
    <t>BSC2026_14652</t>
  </si>
  <si>
    <t>Work at Jetty just started, the site was well organised with construction materials segregation, organised. Lifting works were well managed by lifting supervisor.</t>
  </si>
  <si>
    <t>BSC2026_14667</t>
  </si>
  <si>
    <t>BSC2026_14695</t>
  </si>
  <si>
    <t>Transfer worker by lorry
Others contractor</t>
  </si>
  <si>
    <t>BSC2026_14696</t>
  </si>
  <si>
    <t>Abdullah Tahir</t>
  </si>
  <si>
    <t>CJ3 PRECAST YARD AREA</t>
  </si>
  <si>
    <t>BSC2026_14697</t>
  </si>
  <si>
    <t>Muhammad aliif haikal bin azhar</t>
  </si>
  <si>
    <t>Pekerja menghisap rokok ditempat khas untuk merokok. Pekerja membuang puntung rokok ditempat yg disediakan dan tidak buang sembarangan.</t>
  </si>
  <si>
    <t>BSC2026_14698</t>
  </si>
  <si>
    <t>Afif</t>
  </si>
  <si>
    <t>Not wearing safety glass.</t>
  </si>
  <si>
    <t>BSC2026_14699</t>
  </si>
  <si>
    <t>Izzato</t>
  </si>
  <si>
    <t>Ak88 - Good access from barge to barge.</t>
  </si>
  <si>
    <t>BSC2026_14702</t>
  </si>
  <si>
    <t>BSC2026_14704</t>
  </si>
  <si>
    <t>Muhammad Uzair Mohd Ismadi</t>
  </si>
  <si>
    <t>Workers tying rebar while wearing hand gloves.</t>
  </si>
  <si>
    <t>BSC2026_14713</t>
  </si>
  <si>
    <t>Rozlee</t>
  </si>
  <si>
    <t>Terdapat lubang pada walkway</t>
  </si>
  <si>
    <t>BSC2026_14715</t>
  </si>
  <si>
    <t>Signage "temporary storage" tumbang dan tidak dapat dilihat</t>
  </si>
  <si>
    <t>BSC2026_14717</t>
  </si>
  <si>
    <t>Laluan ke atas barge terhalang oleh material..</t>
  </si>
  <si>
    <t>BSC2026_14781</t>
  </si>
  <si>
    <t>Faris Malek</t>
  </si>
  <si>
    <t>Site walk</t>
  </si>
  <si>
    <t>BSC2026_14782</t>
  </si>
  <si>
    <t>Safety Supervisor</t>
  </si>
  <si>
    <t>open part of machinaries</t>
  </si>
  <si>
    <t>BSC2026_14785</t>
  </si>
  <si>
    <t>Meterial timber on site.</t>
  </si>
  <si>
    <t>BSC2026_14797</t>
  </si>
  <si>
    <t>Eakub</t>
  </si>
  <si>
    <t>Worker</t>
  </si>
  <si>
    <t>BSC2026_14799</t>
  </si>
  <si>
    <t>Shamim</t>
  </si>
  <si>
    <t>Comply full and additional ppe while cutting pipe scaffolding work</t>
  </si>
  <si>
    <t>BSC2026_14845</t>
  </si>
  <si>
    <t>Rest area no lightning</t>
  </si>
  <si>
    <t>BSC2026_14929</t>
  </si>
  <si>
    <t>Dawai ikat metel deck scaffoding putus</t>
  </si>
  <si>
    <t>BSC2026_14931</t>
  </si>
  <si>
    <t>Dua org staf dialog pakai live Jacket tak Inspection no tagging</t>
  </si>
  <si>
    <t>BSC2026_14964</t>
  </si>
  <si>
    <t>Ahmat jani</t>
  </si>
  <si>
    <t>Air minum di tempat kerja</t>
  </si>
  <si>
    <t>BSC2026_14970</t>
  </si>
  <si>
    <t>At PB68 piling barge</t>
  </si>
  <si>
    <t>BSC2026_15199</t>
  </si>
  <si>
    <t>Hamdan</t>
  </si>
  <si>
    <t>tali berada di tengah jalan turun naik bbarge</t>
  </si>
  <si>
    <t>BSC2026_15217</t>
  </si>
  <si>
    <t>Nazrul jamaludin</t>
  </si>
  <si>
    <t>Earthing rod pada tower light yang dipasang diatas crane platform tidak sentuh air ketika air surut</t>
  </si>
  <si>
    <t>BSC2026_15222</t>
  </si>
  <si>
    <t>Jack anak philip</t>
  </si>
  <si>
    <t>BSC2026_15223</t>
  </si>
  <si>
    <t>Md Rakib</t>
  </si>
  <si>
    <t>Comply PPE before start work</t>
  </si>
  <si>
    <t>BSC2026_15224</t>
  </si>
  <si>
    <t>Shahidur</t>
  </si>
  <si>
    <t>Wear harness when perform working at height</t>
  </si>
  <si>
    <t>BSC2026_15234</t>
  </si>
  <si>
    <t>Live boy diletakan dekat dg kawasan kerja</t>
  </si>
  <si>
    <t>BSC2026_15316</t>
  </si>
  <si>
    <t>Observed one general worker did not wear dust mask when cutting the concrete culvert using pneumatic grinder</t>
  </si>
  <si>
    <t>BSC2026_15322</t>
  </si>
  <si>
    <t>NASUHA DAYANA BINTI MOHD YASIN</t>
  </si>
  <si>
    <t>EXCESSIVE NOISE WAS OBSERVED FROM THE REBAR BENDING MACHINE DURING OPERATION AT THE REBAR WORK AREA. THE ISSUE WAS DISCUSSED WITH THE WORKER AND SUPERVISOR.</t>
  </si>
  <si>
    <t>BSC2026_15332</t>
  </si>
  <si>
    <t>General waste was found mixed with scrap materials in the designated scrap bin at the work area. The issue was discussed with the worker/ supervisor.</t>
  </si>
  <si>
    <t>BSC2026_15383</t>
  </si>
  <si>
    <t>Observed many cigarettes buds scattered around on the floor of PB68</t>
  </si>
  <si>
    <t>BSC2026_15518</t>
  </si>
  <si>
    <t>Observed concrete used for slump test was placed nearby to main access road</t>
  </si>
  <si>
    <t>BSC2026_15519</t>
  </si>
  <si>
    <t>Observed worker perform leak test using soap water on the hose connection however the the container used to fill up the soap water is single use water bottle</t>
  </si>
  <si>
    <t>BSC2026_15520</t>
  </si>
  <si>
    <t>Observed life buoy got no label and no rescue rope attached</t>
  </si>
  <si>
    <t>BSC2026_15522</t>
  </si>
  <si>
    <t>Congestion or Restricted Action</t>
  </si>
  <si>
    <t>Observed beam material was placed on the access way at slip way construction area</t>
  </si>
  <si>
    <t>BSC2026_15526</t>
  </si>
  <si>
    <t>Tidak menggunakan faceshied dengan betul ketika memotong plate menggunakan cutting torch</t>
  </si>
  <si>
    <t>BSC2026_15527</t>
  </si>
  <si>
    <t>All drinking bottle at POM rest shelter got labelling.</t>
  </si>
  <si>
    <t>BSC2026_15539</t>
  </si>
  <si>
    <t>F.e in good condition. gauge lvl showing full pressure. Valid sticker bomba and monthly inspection marked.</t>
  </si>
  <si>
    <t>BSC2026_15562</t>
  </si>
  <si>
    <t>Nurul Asyiqin Zolkefeli</t>
  </si>
  <si>
    <t>No show of ST approval and DOE approval on genset used on barge.</t>
  </si>
  <si>
    <t>BSC2026_15564</t>
  </si>
  <si>
    <t>During bending,cutting rebar activity area rebar bending yard. Exposed to loud noise. Observation all worker wearing hearing protection.</t>
  </si>
  <si>
    <t>BSC2026_15587</t>
  </si>
  <si>
    <t>Observed access walkway was provided from main gate to AKM shelter</t>
  </si>
  <si>
    <t>BSC2026_15588</t>
  </si>
  <si>
    <t>Observed worker enter the site without wearing safety glass</t>
  </si>
  <si>
    <t>BSC2026_15663</t>
  </si>
  <si>
    <t>Menyediakan pedestrian walkway untuk pekerja</t>
  </si>
  <si>
    <t>BSC2026_15664</t>
  </si>
  <si>
    <t>A worker was observed stepping over the barricade to enter the work area.</t>
  </si>
  <si>
    <t>BSC2026_15665</t>
  </si>
  <si>
    <t>Proper scaffolding platform has been erected to provide proper access to the worker to work at height elevation</t>
  </si>
  <si>
    <t>BSC2026_15666</t>
  </si>
  <si>
    <t>Observed all rebar material at material storage covered with canvas and the area was in proper barrication</t>
  </si>
  <si>
    <t>BSC2026_15667</t>
  </si>
  <si>
    <t>Observed worker store drinking can soda inside material storage container which could bring hygiene issue to other workers</t>
  </si>
  <si>
    <t>BSC2026_15668</t>
  </si>
  <si>
    <t>Rigger blow the wisels to alarm otber workers at site before start lifting the material</t>
  </si>
  <si>
    <t>BSC2026_15669</t>
  </si>
  <si>
    <t>Observed snap zone signage has been located at pb68 to warn worker about snap zone area on pb68</t>
  </si>
  <si>
    <t>BSC2026_15670</t>
  </si>
  <si>
    <t>Observed surplus rebar was kept under table top</t>
  </si>
  <si>
    <t>BSC2026_15671</t>
  </si>
  <si>
    <t>Observed first aid box still in plastic wrap stored inside store container</t>
  </si>
  <si>
    <t>BSC2026_15672</t>
  </si>
  <si>
    <t>SDS was not available for the chemicals stored at the designated chemical store. The issue was discussed with the supervisor.</t>
  </si>
  <si>
    <t>BSC2026_15707</t>
  </si>
  <si>
    <t>Ikmar</t>
  </si>
  <si>
    <t>Vehicle Parking
food and beverage container discarded in the bushes.</t>
  </si>
  <si>
    <t>BSC2026_15727</t>
  </si>
  <si>
    <t>Nurul Anahua</t>
  </si>
  <si>
    <t>Project Office</t>
  </si>
  <si>
    <t>BSC2026_15728</t>
  </si>
  <si>
    <t>Trip hazard as the emergency strip has been damaged</t>
  </si>
  <si>
    <t>BSC2026_15729</t>
  </si>
  <si>
    <t>Shera</t>
  </si>
  <si>
    <t>At female toilet room, there are mosquitoes almost all the time. I talked to one of the safety personnel about it.</t>
  </si>
  <si>
    <t>BSC2026_15743</t>
  </si>
  <si>
    <t>Diesel disimpan bersama2 dengan barang lain dalam toolbox</t>
  </si>
  <si>
    <t>BSC2026_15744</t>
  </si>
  <si>
    <t>Drum chemical tanpa drip tray</t>
  </si>
  <si>
    <t>BSC2026_15746</t>
  </si>
  <si>
    <t>Lifebuoy di ak88 tanpa marking area</t>
  </si>
  <si>
    <t>BSC2026_15747</t>
  </si>
  <si>
    <t>Inadequate safety chain at the back area of barge PB68. Risk of falling into the sea.</t>
  </si>
  <si>
    <t>BSC2026_15748</t>
  </si>
  <si>
    <t>Handrail di flat top barge berkarat dan tidak di cat kuning... Sumar di lihat dari jauh</t>
  </si>
  <si>
    <t>BSC2026_15750</t>
  </si>
  <si>
    <t>Tiada walkway khas untuk berjalan di ak88</t>
  </si>
  <si>
    <t>BSC2026_15753</t>
  </si>
  <si>
    <t>Handrail di PB68 longgar dan perlu di cat dan dikemaskan semula supaya visible dan tahan lama</t>
  </si>
  <si>
    <t>BSC2026_15754</t>
  </si>
  <si>
    <t>Machinery movement with banksman escort</t>
  </si>
  <si>
    <t>BSC2026_15756</t>
  </si>
  <si>
    <t>No dedicated pedestrian path.</t>
  </si>
  <si>
    <t>BSC2026_15758</t>
  </si>
  <si>
    <t>Machinery movement.</t>
  </si>
  <si>
    <t>BSC2026_15759</t>
  </si>
  <si>
    <t>Domestic waste.</t>
  </si>
  <si>
    <t>BSC2026_15763</t>
  </si>
  <si>
    <t>Water leaking from water tank at building ex Sek Tanjung Datok</t>
  </si>
  <si>
    <t>BSC2026_15764</t>
  </si>
  <si>
    <t>Observed worker working without wearing glove</t>
  </si>
  <si>
    <t>BSC2026_15765</t>
  </si>
  <si>
    <t>Good housekeeping practice was observed at the project site, with housekeeping activities conducted every Friday of the week.</t>
  </si>
  <si>
    <t>BSC2026_15766</t>
  </si>
  <si>
    <t>Good waste management practice was observed, where the supervisor ensures that waste generated on the barge is collected and transferred to the RORO bin on land every afternoon.</t>
  </si>
  <si>
    <t>BSC2026_15767</t>
  </si>
  <si>
    <t>Diesel container was found stored inside toolbox</t>
  </si>
  <si>
    <t>BSC2026_15768</t>
  </si>
  <si>
    <t>Proper barricading was provided around the work area to prevent unauthorized personnel from entering the hazardous zone.</t>
  </si>
  <si>
    <t>BSC2026_15769</t>
  </si>
  <si>
    <t>Fire &amp; explosion Hazards</t>
  </si>
  <si>
    <t>Drum container filled with fuel was placed directly on the ground without drip tray</t>
  </si>
  <si>
    <t>BSC2026_15770</t>
  </si>
  <si>
    <t>Waste was properly segregated and disposed of into the designated waste bins at the site.</t>
  </si>
  <si>
    <t>BSC2026_15771</t>
  </si>
  <si>
    <t>Manover lorry at site contol by flagman</t>
  </si>
  <si>
    <t>BSC2026_15780</t>
  </si>
  <si>
    <t>Start inspection electrical equipment and tools early before end of the month</t>
  </si>
  <si>
    <t>BSC2026_15782</t>
  </si>
  <si>
    <t>Buat susunan semula kedudukan material yang menghalang laluan pejalan kaki</t>
  </si>
  <si>
    <t>BSC2026_15783</t>
  </si>
  <si>
    <t>Tukar baru safety vest yang telah lusuh dan koyak</t>
  </si>
  <si>
    <t>BSC2026_15784</t>
  </si>
  <si>
    <t>Menggunakan kasut safety low cut</t>
  </si>
  <si>
    <t>BSC2026_15785</t>
  </si>
  <si>
    <t>Foster drinking bottle.</t>
  </si>
  <si>
    <t>BSC2026_15787</t>
  </si>
  <si>
    <t>Tambah signage dan lifebuoy di passenger jetty</t>
  </si>
  <si>
    <t>BSC2026_15788</t>
  </si>
  <si>
    <t>Driver lori turun dari lori tanpa helmet</t>
  </si>
  <si>
    <t>BSC2026_15789</t>
  </si>
  <si>
    <t>Spot light senget kerana tidak di letak kan di tempat yang rata</t>
  </si>
  <si>
    <t>BSC2026_15790</t>
  </si>
  <si>
    <t>Buat housekeeping di shelter.. Fokus cigarette butt</t>
  </si>
  <si>
    <t>BSC2026_15791</t>
  </si>
  <si>
    <t>Movement of heavy machinery. Blind spot.</t>
  </si>
  <si>
    <t>BSC2026_15792</t>
  </si>
  <si>
    <t>Sampah makanan tidak diuruskan dengan sempurna di PB68</t>
  </si>
  <si>
    <t>BSC2026_15793</t>
  </si>
  <si>
    <t>Speeding. Lorry tipper bring amour rock.</t>
  </si>
  <si>
    <t>BSC2026_15794</t>
  </si>
  <si>
    <t>Operating at Improper Speed</t>
  </si>
  <si>
    <t>Lori tipper armour rock laju dalam site</t>
  </si>
  <si>
    <t>BSC2026_15795</t>
  </si>
  <si>
    <t>Found worker with torn work trousers.</t>
  </si>
  <si>
    <t>BSC2026_15797</t>
  </si>
  <si>
    <t>Observed site supervisor holding flag to control traffic at site</t>
  </si>
  <si>
    <t>Username</t>
  </si>
  <si>
    <t>Password</t>
  </si>
  <si>
    <t>Name</t>
  </si>
  <si>
    <t>Role</t>
  </si>
  <si>
    <t>ikhwannazam</t>
  </si>
  <si>
    <t>12345678</t>
  </si>
  <si>
    <t>Tuan Ikhwan bin Tuan Nazam</t>
  </si>
  <si>
    <t>admin</t>
  </si>
  <si>
    <t>active</t>
  </si>
  <si>
    <t>zaidiwagi</t>
  </si>
  <si>
    <t>Zaidi bin Wagi</t>
  </si>
  <si>
    <t>marzuki</t>
  </si>
  <si>
    <t>user</t>
  </si>
  <si>
    <t>wannajib</t>
  </si>
  <si>
    <t>Wan Najib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</si>
</sst>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"/>
    <numFmt numFmtId="165" formatCode="dd\-mmm\-yyyy"/>
    <numFmt numFmtId="166" formatCode="m/d/yyyy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000000"/>
      <name val="Times New Roman"/>
      <family val="1"/>
    </font>
    <font>
      <b/>
      <sz val="9"/>
      <color theme="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8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1" fontId="6" fillId="0" borderId="12" xfId="1" applyNumberFormat="1" applyFont="1" applyBorder="1" applyAlignment="1">
      <alignment horizontal="center" vertical="center" shrinkToFit="1"/>
    </xf>
    <xf numFmtId="0" fontId="7" fillId="0" borderId="11" xfId="1" applyFont="1" applyBorder="1" applyAlignment="1">
      <alignment horizontal="center" vertical="center" wrapText="1"/>
    </xf>
    <xf numFmtId="165" fontId="6" fillId="0" borderId="11" xfId="1" applyNumberFormat="1" applyFont="1" applyBorder="1" applyAlignment="1">
      <alignment horizontal="center" vertical="center" shrinkToFit="1"/>
    </xf>
    <xf numFmtId="0" fontId="7" fillId="0" borderId="11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1" fontId="6" fillId="0" borderId="11" xfId="1" applyNumberFormat="1" applyFont="1" applyBorder="1" applyAlignment="1">
      <alignment horizontal="center" vertical="center" shrinkToFit="1"/>
    </xf>
    <xf numFmtId="1" fontId="6" fillId="0" borderId="13" xfId="1" applyNumberFormat="1" applyFont="1" applyBorder="1" applyAlignment="1">
      <alignment horizontal="center" vertical="center" shrinkToFit="1"/>
    </xf>
    <xf numFmtId="1" fontId="6" fillId="0" borderId="14" xfId="1" applyNumberFormat="1" applyFont="1" applyBorder="1" applyAlignment="1">
      <alignment horizontal="center" vertical="center" shrinkToFit="1"/>
    </xf>
    <xf numFmtId="0" fontId="7" fillId="0" borderId="14" xfId="1" applyFont="1" applyBorder="1" applyAlignment="1">
      <alignment horizontal="center" vertical="center" wrapText="1"/>
    </xf>
    <xf numFmtId="165" fontId="6" fillId="0" borderId="15" xfId="1" applyNumberFormat="1" applyFont="1" applyBorder="1" applyAlignment="1">
      <alignment horizontal="center" vertical="center" shrinkToFit="1"/>
    </xf>
    <xf numFmtId="0" fontId="7" fillId="0" borderId="14" xfId="1" applyFont="1" applyBorder="1" applyAlignment="1">
      <alignment horizontal="left" vertical="center" wrapText="1"/>
    </xf>
    <xf numFmtId="1" fontId="6" fillId="0" borderId="16" xfId="1" applyNumberFormat="1" applyFont="1" applyBorder="1" applyAlignment="1">
      <alignment horizontal="center" vertical="center" shrinkToFit="1"/>
    </xf>
    <xf numFmtId="1" fontId="6" fillId="0" borderId="17" xfId="1" applyNumberFormat="1" applyFont="1" applyBorder="1" applyAlignment="1">
      <alignment horizontal="center" vertical="center" shrinkToFit="1"/>
    </xf>
    <xf numFmtId="0" fontId="7" fillId="0" borderId="17" xfId="1" applyFont="1" applyBorder="1" applyAlignment="1">
      <alignment horizontal="center" vertical="center" wrapText="1"/>
    </xf>
    <xf numFmtId="165" fontId="6" fillId="0" borderId="17" xfId="1" applyNumberFormat="1" applyFont="1" applyBorder="1" applyAlignment="1">
      <alignment horizontal="center" vertical="center" shrinkToFit="1"/>
    </xf>
    <xf numFmtId="0" fontId="7" fillId="0" borderId="17" xfId="1" applyFont="1" applyBorder="1" applyAlignment="1">
      <alignment horizontal="left" vertical="center" wrapText="1"/>
    </xf>
    <xf numFmtId="0" fontId="5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8" fillId="0" borderId="0" xfId="0" applyFont="1"/>
    <xf numFmtId="166" fontId="1" fillId="0" borderId="2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224"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rgb="FF000000"/>
        </left>
        <right/>
        <top style="thin">
          <color rgb="FF000000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left" vertical="center" wrapText="1"/>
      <border outline="0">
        <left style="thin">
          <color rgb="FF000000"/>
        </left>
        <right/>
        <top style="thin">
          <color rgb="FF000000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alignment horizontal="center" vertical="center" wrapText="1"/>
      <border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alignment horizontal="center" vertical="center" wrapText="1"/>
      <border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Arial"/>
        <family val="2"/>
      </font>
      <numFmt numFmtId="167" formatCode="dd\-mmm\-yyyy;@"/>
      <fill>
        <patternFill>
          <fgColor indexed="64"/>
          <bgColor auto="1"/>
        </patternFill>
      </fill>
      <alignment horizontal="center" vertical="center" shrinkToFit="1"/>
      <border outline="0">
        <left style="thin">
          <color rgb="FF000000"/>
        </left>
        <right/>
        <top style="thin">
          <color rgb="FF000000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Arial"/>
        <family val="2"/>
      </font>
      <numFmt numFmtId="165" formatCode="dd\-mmm\-yyyy"/>
      <fill>
        <patternFill>
          <fgColor indexed="64"/>
          <bgColor auto="1"/>
        </patternFill>
      </fill>
      <alignment horizontal="center" vertical="center" shrinkToFit="1"/>
      <border outline="0">
        <left style="thin">
          <color rgb="FF000000"/>
        </left>
        <right/>
        <top style="thin">
          <color rgb="FF000000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Arial"/>
        <family val="2"/>
      </font>
      <numFmt numFmtId="165" formatCode="dd\-mmm\-yyyy"/>
      <alignment horizontal="center" vertical="center" shrinkToFit="1"/>
      <border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Arial"/>
        <family val="2"/>
      </font>
      <numFmt numFmtId="165" formatCode="dd\-mmm\-yyyy"/>
      <fill>
        <patternFill>
          <fgColor indexed="64"/>
          <bgColor auto="1"/>
        </patternFill>
      </fill>
      <alignment horizontal="center" vertical="center" shrinkToFit="1"/>
      <border outline="0">
        <left style="thin">
          <color rgb="FF000000"/>
        </left>
        <right/>
        <top style="thin">
          <color rgb="FF000000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numFmt numFmtId="0" formatCode="General"/>
      <fill>
        <patternFill>
          <fgColor indexed="64"/>
          <bgColor indexed="65"/>
        </patternFill>
      </fill>
      <alignment horizontal="center" vertical="center" wrapText="1"/>
      <border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rgb="FF000000"/>
        </left>
        <right/>
        <top style="thin">
          <color rgb="FF000000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rgb="FF000000"/>
        </left>
        <right/>
        <top style="thin">
          <color rgb="FF000000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Arial"/>
        <family val="2"/>
      </font>
      <numFmt numFmtId="1" formatCode="0"/>
      <fill>
        <patternFill>
          <fgColor indexed="64"/>
          <bgColor auto="1"/>
        </patternFill>
      </fill>
      <alignment horizontal="center" vertical="center" shrinkToFit="1"/>
      <border outline="0">
        <left style="thin">
          <color rgb="FF000000"/>
        </left>
        <right/>
        <top style="thin">
          <color rgb="FF000000"/>
        </top>
        <bottom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Arial"/>
        <family val="2"/>
      </font>
      <numFmt numFmtId="1" formatCode="0"/>
      <fill>
        <patternFill>
          <fgColor indexed="64"/>
          <bgColor auto="1"/>
        </patternFill>
      </fill>
      <alignment horizontal="center" vertical="center" shrinkToFit="1"/>
      <border outline="0">
        <left/>
        <right/>
        <top style="thin">
          <color rgb="FF000000"/>
        </top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Arial"/>
        <family val="2"/>
      </font>
      <fill>
        <patternFill>
          <fgColor indexed="64"/>
          <bgColor auto="1"/>
        </patternFill>
      </fill>
      <alignment horizontal="center" vertical="center" shrinkToFit="1"/>
    </dxf>
    <dxf>
      <font>
        <b/>
        <strike val="0"/>
        <condense val="0"/>
        <extend val="0"/>
        <outline val="0"/>
        <shadow val="0"/>
        <vertAlign val="baseline"/>
        <sz val="9"/>
        <color theme="0"/>
        <name val="Arial"/>
        <family val="2"/>
      </font>
      <alignment horizontal="center" vertical="center" wrapText="1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 wrapText="1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 wrapText="1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 wrapText="1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  <border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 wrapText="1"/>
      <border outline="0">
        <left style="thin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0" formatCode="General"/>
      <alignment horizontal="center" vertical="center" wrapText="1"/>
      <border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4" formatCode="dddd"/>
      <alignment horizontal="center" vertical="center" wrapText="1"/>
      <border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6" formatCode="m/d/yyyy"/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hair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hair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  <border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 wrapText="1"/>
      <border outline="0">
        <left style="thin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0" formatCode="General"/>
      <alignment horizontal="center" vertical="center" wrapText="1"/>
      <border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4" formatCode="dddd"/>
      <alignment horizontal="center" vertical="center" wrapText="1"/>
      <border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6" formatCode="m/d/yyyy"/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hair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hair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4" formatCode="dddd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6" formatCode="m/d/yyyy"/>
      <alignment horizontal="center" vertical="center"/>
      <border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hair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4" formatCode="dddd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6" formatCode="m/d/yyyy"/>
      <alignment horizontal="center" vertical="center"/>
      <border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hair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4" formatCode="dddd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6" formatCode="m/d/yyyy"/>
      <alignment horizontal="center" vertical="center"/>
      <border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hair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4" formatCode="dddd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6" formatCode="m/d/yyyy"/>
      <alignment horizontal="center" vertical="center"/>
      <border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hair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4" formatCode="dddd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6" formatCode="m/d/yyyy"/>
      <alignment horizontal="center" vertical="center"/>
      <border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hair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4" formatCode="dddd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6" formatCode="m/d/yyyy"/>
      <alignment horizontal="center" vertical="center"/>
      <border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hair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4" formatCode="dddd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6" formatCode="m/d/yyyy"/>
      <alignment horizontal="center" vertical="center"/>
      <border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hair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4" formatCode="dddd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6" formatCode="m/d/yyyy"/>
      <alignment horizontal="center" vertical="center"/>
      <border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hair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4" formatCode="dddd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6" formatCode="m/d/yyyy"/>
      <alignment horizontal="center" vertical="center"/>
      <border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hair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4" formatCode="dddd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6" formatCode="m/d/yyyy"/>
      <alignment horizontal="center" vertical="center"/>
      <border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hair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4" formatCode="dddd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6" formatCode="m/d/yyyy"/>
      <alignment horizontal="center" vertical="center"/>
      <border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hair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4" formatCode="dddd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6" formatCode="m/d/yyyy"/>
      <alignment horizontal="center" vertical="center"/>
      <border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hair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4" formatCode="dddd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6" formatCode="m/d/yyyy"/>
      <alignment horizontal="center" vertical="center"/>
      <border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hair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4" formatCode="dddd"/>
      <alignment horizontal="center" vertical="center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6" formatCode="m/d/yyyy"/>
      <alignment horizontal="center" vertical="center"/>
      <border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 wrapText="1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  <border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  <border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 wrapText="1"/>
      <border outline="0">
        <left style="thin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0" formatCode="General"/>
      <alignment horizontal="center" vertical="center" wrapText="1"/>
      <border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4" formatCode="dddd"/>
      <alignment horizontal="center" vertical="center" wrapText="1"/>
      <border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numFmt numFmtId="166" formatCode="m/d/yyyy"/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hair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hair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 Narrow"/>
        <family val="2"/>
      </font>
      <alignment horizontal="center" vertical="center" wrapText="1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Arial Narrow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2026-PDT3%20Expansion-Project%20Server\002_Safety%20Environment\15%20-%20REPORT\02%20-%20HSE%20REPORT\05%20-%20HSE%20Dashboard\HSE%20Dashboard%20Rev%200.xlsx" TargetMode="External"/><Relationship Id="rId1" Type="http://schemas.openxmlformats.org/officeDocument/2006/relationships/externalLinkPath" Target="file:///G:\Shared%20drives\2026-PDT3%20Expansion-Project%20Server\002_Safety%20Environment\15%20-%20REPORT\02%20-%20HSE%20REPORT\05%20-%20HSE%20Dashboard\HSE%20Dashboard%20Rev%2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Page"/>
      <sheetName val="Manhour Summary"/>
      <sheetName val="POM_Office"/>
      <sheetName val="POM_Site"/>
      <sheetName val="POC"/>
      <sheetName val="Geometra"/>
      <sheetName val="K-Rotary"/>
      <sheetName val="Starwork"/>
      <sheetName val="Millenium"/>
      <sheetName val="Geolab"/>
      <sheetName val="Twinsteel"/>
      <sheetName val="JK Hidro Survey"/>
      <sheetName val="Security"/>
      <sheetName val="Antarakoh"/>
      <sheetName val="Security Boat"/>
      <sheetName val="Passenger Bo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M" displayName="POM" ref="A5:G178" totalsRowShown="0" headerRowDxfId="207" dataDxfId="205" headerRowBorderDxfId="206" tableBorderDxfId="204">
  <autoFilter ref="A5:G178" xr:uid="{00000000-0009-0000-0100-000001000000}"/>
  <tableColumns count="7">
    <tableColumn id="1" xr3:uid="{00000000-0010-0000-0000-000001000000}" name="DATE" dataDxfId="203"/>
    <tableColumn id="2" xr3:uid="{00000000-0010-0000-0000-000002000000}" name="DAY" dataDxfId="202">
      <calculatedColumnFormula>A6</calculatedColumnFormula>
    </tableColumn>
    <tableColumn id="3" xr3:uid="{00000000-0010-0000-0000-000003000000}" name="WEEK" dataDxfId="4">
      <calculatedColumnFormula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calculatedColumnFormula>
    </tableColumn>
    <tableColumn id="4" xr3:uid="{00000000-0010-0000-0000-000004000000}" name="COMPANY" dataDxfId="201"/>
    <tableColumn id="5" xr3:uid="{00000000-0010-0000-0000-000005000000}" name="CATEGORY" dataDxfId="200"/>
    <tableColumn id="6" xr3:uid="{00000000-0010-0000-0000-000006000000}" name="MANDAY" dataDxfId="199"/>
    <tableColumn id="7" xr3:uid="{00000000-0010-0000-0000-000007000000}" name="MANHOUR" dataDxfId="19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OM_SITE" displayName="POM_SITE" ref="A5:G178" totalsRowShown="0" headerRowDxfId="197" dataDxfId="195" headerRowBorderDxfId="196" tableBorderDxfId="194">
  <autoFilter ref="A5:G178" xr:uid="{00000000-0009-0000-0100-000002000000}"/>
  <tableColumns count="7">
    <tableColumn id="1" xr3:uid="{00000000-0010-0000-0100-000001000000}" name="DATE" dataDxfId="193"/>
    <tableColumn id="2" xr3:uid="{00000000-0010-0000-0100-000002000000}" name="DAY" dataDxfId="192">
      <calculatedColumnFormula>A6</calculatedColumnFormula>
    </tableColumn>
    <tableColumn id="3" xr3:uid="{00000000-0010-0000-0100-000003000000}" name="WEEK" dataDxfId="3">
      <calculatedColumnFormula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calculatedColumnFormula>
    </tableColumn>
    <tableColumn id="4" xr3:uid="{00000000-0010-0000-0100-000004000000}" name="COMPANY" dataDxfId="191"/>
    <tableColumn id="5" xr3:uid="{00000000-0010-0000-0100-000005000000}" name="CATEGORY" dataDxfId="190"/>
    <tableColumn id="6" xr3:uid="{00000000-0010-0000-0100-000006000000}" name="MANDAY" dataDxfId="189"/>
    <tableColumn id="7" xr3:uid="{00000000-0010-0000-0100-000007000000}" name="MANHOUR" dataDxfId="18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OC" displayName="POC" ref="A5:G178" totalsRowShown="0" headerRowDxfId="187" dataDxfId="185" headerRowBorderDxfId="186" tableBorderDxfId="184">
  <autoFilter ref="A5:G178" xr:uid="{00000000-0009-0000-0100-000003000000}"/>
  <tableColumns count="7">
    <tableColumn id="1" xr3:uid="{00000000-0010-0000-0200-000001000000}" name="DATE" dataDxfId="183"/>
    <tableColumn id="2" xr3:uid="{00000000-0010-0000-0200-000002000000}" name="DAY" dataDxfId="182">
      <calculatedColumnFormula>A6</calculatedColumnFormula>
    </tableColumn>
    <tableColumn id="3" xr3:uid="{00000000-0010-0000-0200-000003000000}" name="WEEK" dataDxfId="2">
      <calculatedColumnFormula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calculatedColumnFormula>
    </tableColumn>
    <tableColumn id="4" xr3:uid="{00000000-0010-0000-0200-000004000000}" name="COMPANY" dataDxfId="181"/>
    <tableColumn id="5" xr3:uid="{00000000-0010-0000-0200-000005000000}" name="CATEGORY" dataDxfId="180"/>
    <tableColumn id="6" xr3:uid="{00000000-0010-0000-0200-000006000000}" name="MANDAY" dataDxfId="179"/>
    <tableColumn id="7" xr3:uid="{00000000-0010-0000-0200-000007000000}" name="MANHOUR" dataDxfId="17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EOMETRA" displayName="GEOMETRA" ref="A5:G9" totalsRowShown="0" headerRowDxfId="177" dataDxfId="175" headerRowBorderDxfId="176" tableBorderDxfId="174">
  <autoFilter ref="A5:G9" xr:uid="{00000000-0009-0000-0100-000004000000}"/>
  <tableColumns count="7">
    <tableColumn id="1" xr3:uid="{00000000-0010-0000-0300-000001000000}" name="DATE" dataDxfId="173"/>
    <tableColumn id="2" xr3:uid="{00000000-0010-0000-0300-000002000000}" name="DAY" dataDxfId="172">
      <calculatedColumnFormula>A6</calculatedColumnFormula>
    </tableColumn>
    <tableColumn id="3" xr3:uid="{00000000-0010-0000-0300-000003000000}" name="WEEK" dataDxfId="171">
      <calculatedColumnFormula>IF(GEOMETRA[[#This Row],[DATE]]&lt;DATE(2026,4,11),"0",_xlfn.LET(
_xlpm.W,INT((GEOMETRA[[#This Row],[DATE]]-DATE(2026,4,11))/7)+1,
_xlpm.S,DATE(2026,4,11)+(_xlpm.W-1)*7,
_xlpm.E,_xlpm.S+6,
"W"&amp;TEXT(_xlpm.W,"00")&amp;" ("&amp;TEXT(_xlpm.S,"d/m")&amp;" - "&amp;TEXT(_xlpm.E,"d/m")&amp;")"
))</calculatedColumnFormula>
    </tableColumn>
    <tableColumn id="4" xr3:uid="{00000000-0010-0000-0300-000004000000}" name="COMPANY" dataDxfId="170"/>
    <tableColumn id="5" xr3:uid="{00000000-0010-0000-0300-000005000000}" name="CATEGORY" dataDxfId="169"/>
    <tableColumn id="6" xr3:uid="{00000000-0010-0000-0300-000006000000}" name="MANDAY" dataDxfId="168"/>
    <tableColumn id="7" xr3:uid="{00000000-0010-0000-0300-000007000000}" name="MANHOUR" dataDxfId="16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KROTARY" displayName="KROTARY" ref="A5:G131" totalsRowShown="0" headerRowDxfId="166" dataDxfId="164" headerRowBorderDxfId="165" tableBorderDxfId="163">
  <autoFilter ref="A5:G131" xr:uid="{00000000-0009-0000-0100-000005000000}"/>
  <tableColumns count="7">
    <tableColumn id="1" xr3:uid="{00000000-0010-0000-0400-000001000000}" name="DATE" dataDxfId="162"/>
    <tableColumn id="2" xr3:uid="{00000000-0010-0000-0400-000002000000}" name="DAY" dataDxfId="161">
      <calculatedColumnFormula>A6</calculatedColumnFormula>
    </tableColumn>
    <tableColumn id="3" xr3:uid="{00000000-0010-0000-0400-000003000000}" name="WEEK" dataDxfId="1">
      <calculatedColumnFormula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calculatedColumnFormula>
    </tableColumn>
    <tableColumn id="4" xr3:uid="{00000000-0010-0000-0400-000004000000}" name="COMPANY" dataDxfId="160"/>
    <tableColumn id="5" xr3:uid="{00000000-0010-0000-0400-000005000000}" name="CATEGORY" dataDxfId="159"/>
    <tableColumn id="6" xr3:uid="{00000000-0010-0000-0400-000006000000}" name="MANDAY" dataDxfId="158"/>
    <tableColumn id="7" xr3:uid="{00000000-0010-0000-0400-000007000000}" name="MANHOUR" dataDxfId="15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TARWORK" displayName="STARWORK" ref="A5:G68" totalsRowShown="0" headerRowDxfId="156" dataDxfId="154" headerRowBorderDxfId="155" tableBorderDxfId="153">
  <autoFilter ref="A5:G68" xr:uid="{00000000-0009-0000-0100-000006000000}"/>
  <tableColumns count="7">
    <tableColumn id="1" xr3:uid="{00000000-0010-0000-0500-000001000000}" name="DATE" dataDxfId="152"/>
    <tableColumn id="2" xr3:uid="{00000000-0010-0000-0500-000002000000}" name="DAY" dataDxfId="151">
      <calculatedColumnFormula>A6</calculatedColumnFormula>
    </tableColumn>
    <tableColumn id="3" xr3:uid="{00000000-0010-0000-0500-000003000000}" name="WEEK" dataDxfId="150">
      <calculatedColumnFormula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calculatedColumnFormula>
    </tableColumn>
    <tableColumn id="4" xr3:uid="{00000000-0010-0000-0500-000004000000}" name="COMPANY" dataDxfId="149"/>
    <tableColumn id="5" xr3:uid="{00000000-0010-0000-0500-000005000000}" name="CATEGORY" dataDxfId="148"/>
    <tableColumn id="6" xr3:uid="{00000000-0010-0000-0500-000006000000}" name="MANDAY" dataDxfId="147"/>
    <tableColumn id="7" xr3:uid="{00000000-0010-0000-0500-000007000000}" name="MANHOUR" dataDxfId="14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ILLENIUM" displayName="MILLENIUM" ref="A5:G7" totalsRowShown="0" headerRowDxfId="145" dataDxfId="143" headerRowBorderDxfId="144" tableBorderDxfId="142">
  <autoFilter ref="A5:G7" xr:uid="{00000000-0009-0000-0100-000007000000}"/>
  <tableColumns count="7">
    <tableColumn id="1" xr3:uid="{00000000-0010-0000-0600-000001000000}" name="DATE" dataDxfId="141"/>
    <tableColumn id="2" xr3:uid="{00000000-0010-0000-0600-000002000000}" name="DAY" dataDxfId="140">
      <calculatedColumnFormula>A6</calculatedColumnFormula>
    </tableColumn>
    <tableColumn id="3" xr3:uid="{00000000-0010-0000-0600-000003000000}" name="WEEK" dataDxfId="139">
      <calculatedColumnFormula>IF(MILLENIUM[[#This Row],[DATE]]&lt;DATE(2026,4,11),"0",_xlfn.LET(
_xlpm.W,INT((MILLENIUM[[#This Row],[DATE]]-DATE(2026,4,11))/7)+1,
_xlpm.S,DATE(2026,4,11)+(_xlpm.W-1)*7,
_xlpm.E,_xlpm.S+6,
"W"&amp;TEXT(_xlpm.W,"00")&amp;" ("&amp;TEXT(_xlpm.S,"d/m")&amp;" - "&amp;TEXT(_xlpm.E,"d/m")&amp;")"
))</calculatedColumnFormula>
    </tableColumn>
    <tableColumn id="4" xr3:uid="{00000000-0010-0000-0600-000004000000}" name="COMPANY" dataDxfId="138"/>
    <tableColumn id="5" xr3:uid="{00000000-0010-0000-0600-000005000000}" name="CATEGORY" dataDxfId="137"/>
    <tableColumn id="6" xr3:uid="{00000000-0010-0000-0600-000006000000}" name="MANDAY" dataDxfId="136"/>
    <tableColumn id="7" xr3:uid="{00000000-0010-0000-0600-000007000000}" name="MANHOUR" dataDxfId="135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GEOLAB" displayName="GEOLAB" ref="A5:G55" totalsRowShown="0" headerRowDxfId="134" dataDxfId="132" headerRowBorderDxfId="133" tableBorderDxfId="131">
  <autoFilter ref="A5:G55" xr:uid="{00000000-0009-0000-0100-000008000000}"/>
  <tableColumns count="7">
    <tableColumn id="1" xr3:uid="{00000000-0010-0000-0700-000001000000}" name="DATE" dataDxfId="130"/>
    <tableColumn id="2" xr3:uid="{00000000-0010-0000-0700-000002000000}" name="DAY" dataDxfId="129">
      <calculatedColumnFormula>A6</calculatedColumnFormula>
    </tableColumn>
    <tableColumn id="3" xr3:uid="{00000000-0010-0000-0700-000003000000}" name="WEEK" dataDxfId="128">
      <calculatedColumnFormula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calculatedColumnFormula>
    </tableColumn>
    <tableColumn id="4" xr3:uid="{00000000-0010-0000-0700-000004000000}" name="COMPANY" dataDxfId="127"/>
    <tableColumn id="5" xr3:uid="{00000000-0010-0000-0700-000005000000}" name="CATEGORY" dataDxfId="126"/>
    <tableColumn id="6" xr3:uid="{00000000-0010-0000-0700-000006000000}" name="MANDAY" dataDxfId="125"/>
    <tableColumn id="7" xr3:uid="{00000000-0010-0000-0700-000007000000}" name="MANHOUR" dataDxfId="124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WINSTEEL" displayName="TWINSTEEL" ref="A5:G90" totalsRowShown="0" headerRowDxfId="123" dataDxfId="121" headerRowBorderDxfId="122" tableBorderDxfId="120">
  <autoFilter ref="A5:G90" xr:uid="{00000000-0009-0000-0100-000009000000}"/>
  <tableColumns count="7">
    <tableColumn id="1" xr3:uid="{00000000-0010-0000-0800-000001000000}" name="DATE" dataDxfId="119"/>
    <tableColumn id="2" xr3:uid="{00000000-0010-0000-0800-000002000000}" name="DAY" dataDxfId="118">
      <calculatedColumnFormula>A6</calculatedColumnFormula>
    </tableColumn>
    <tableColumn id="3" xr3:uid="{00000000-0010-0000-0800-000003000000}" name="WEEK" dataDxfId="117">
      <calculatedColumnFormula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calculatedColumnFormula>
    </tableColumn>
    <tableColumn id="4" xr3:uid="{00000000-0010-0000-0800-000004000000}" name="COMPANY" dataDxfId="116"/>
    <tableColumn id="5" xr3:uid="{00000000-0010-0000-0800-000005000000}" name="CATEGORY" dataDxfId="115"/>
    <tableColumn id="6" xr3:uid="{00000000-0010-0000-0800-000006000000}" name="MANDAY" dataDxfId="114"/>
    <tableColumn id="7" xr3:uid="{00000000-0010-0000-0800-000007000000}" name="MANHOUR" dataDxfId="113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JK_HIDRO" displayName="JK_HIDRO" ref="A5:G79" totalsRowShown="0" headerRowDxfId="112" dataDxfId="110" headerRowBorderDxfId="111" tableBorderDxfId="109">
  <autoFilter ref="A5:G79" xr:uid="{00000000-0009-0000-0100-00000A000000}"/>
  <tableColumns count="7">
    <tableColumn id="1" xr3:uid="{00000000-0010-0000-0900-000001000000}" name="DATE" dataDxfId="108"/>
    <tableColumn id="2" xr3:uid="{00000000-0010-0000-0900-000002000000}" name="DAY" dataDxfId="107">
      <calculatedColumnFormula>A6</calculatedColumnFormula>
    </tableColumn>
    <tableColumn id="3" xr3:uid="{00000000-0010-0000-0900-000003000000}" name="WEEK" dataDxfId="106">
      <calculatedColumnFormula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calculatedColumnFormula>
    </tableColumn>
    <tableColumn id="4" xr3:uid="{00000000-0010-0000-0900-000004000000}" name="COMPANY" dataDxfId="105"/>
    <tableColumn id="5" xr3:uid="{00000000-0010-0000-0900-000005000000}" name="CATEGORY" dataDxfId="104"/>
    <tableColumn id="6" xr3:uid="{00000000-0010-0000-0900-000006000000}" name="MANDAY" dataDxfId="103"/>
    <tableColumn id="7" xr3:uid="{00000000-0010-0000-0900-000007000000}" name="MANHOUR" dataDxfId="10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ECURITY" displayName="SECURITY" ref="A5:G99" totalsRowShown="0" headerRowDxfId="101" dataDxfId="99" headerRowBorderDxfId="100" tableBorderDxfId="98">
  <autoFilter ref="A5:G99" xr:uid="{00000000-0009-0000-0100-00000B000000}"/>
  <tableColumns count="7">
    <tableColumn id="1" xr3:uid="{00000000-0010-0000-0A00-000001000000}" name="DATE" dataDxfId="97"/>
    <tableColumn id="2" xr3:uid="{00000000-0010-0000-0A00-000002000000}" name="DAY" dataDxfId="96">
      <calculatedColumnFormula>A6</calculatedColumnFormula>
    </tableColumn>
    <tableColumn id="3" xr3:uid="{00000000-0010-0000-0A00-000003000000}" name="WEEK" dataDxfId="95">
      <calculatedColumnFormula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calculatedColumnFormula>
    </tableColumn>
    <tableColumn id="4" xr3:uid="{00000000-0010-0000-0A00-000004000000}" name="COMPANY" dataDxfId="94"/>
    <tableColumn id="5" xr3:uid="{00000000-0010-0000-0A00-000005000000}" name="CATEGORY" dataDxfId="93"/>
    <tableColumn id="6" xr3:uid="{00000000-0010-0000-0A00-000006000000}" name="MANDAY" dataDxfId="92"/>
    <tableColumn id="7" xr3:uid="{00000000-0010-0000-0A00-000007000000}" name="MANHOUR" dataDxfId="91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ANTARAKOH" displayName="ANTARAKOH" ref="A5:G68" totalsRowShown="0" headerRowDxfId="90" dataDxfId="88" headerRowBorderDxfId="89" tableBorderDxfId="87">
  <autoFilter ref="A5:G68" xr:uid="{00000000-0009-0000-0100-00000C000000}"/>
  <tableColumns count="7">
    <tableColumn id="1" xr3:uid="{00000000-0010-0000-0B00-000001000000}" name="DATE" dataDxfId="86"/>
    <tableColumn id="2" xr3:uid="{00000000-0010-0000-0B00-000002000000}" name="DAY" dataDxfId="85">
      <calculatedColumnFormula>A6</calculatedColumnFormula>
    </tableColumn>
    <tableColumn id="3" xr3:uid="{00000000-0010-0000-0B00-000003000000}" name="WEEK" dataDxfId="0">
      <calculatedColumnFormula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calculatedColumnFormula>
    </tableColumn>
    <tableColumn id="4" xr3:uid="{00000000-0010-0000-0B00-000004000000}" name="COMPANY" dataDxfId="84"/>
    <tableColumn id="5" xr3:uid="{00000000-0010-0000-0B00-000005000000}" name="CATEGORY" dataDxfId="83"/>
    <tableColumn id="6" xr3:uid="{00000000-0010-0000-0B00-000006000000}" name="MANDAY" dataDxfId="82"/>
    <tableColumn id="7" xr3:uid="{00000000-0010-0000-0B00-000007000000}" name="MANHOUR" dataDxfId="81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SECURITYBOAT" displayName="SECURITYBOAT" ref="A5:G68" totalsRowShown="0" headerRowDxfId="80" dataDxfId="78" headerRowBorderDxfId="79" tableBorderDxfId="77">
  <autoFilter ref="A5:G68" xr:uid="{00000000-0009-0000-0100-00000D000000}"/>
  <tableColumns count="7">
    <tableColumn id="1" xr3:uid="{00000000-0010-0000-0C00-000001000000}" name="DATE" dataDxfId="76"/>
    <tableColumn id="2" xr3:uid="{00000000-0010-0000-0C00-000002000000}" name="DAY" dataDxfId="75">
      <calculatedColumnFormula>A6</calculatedColumnFormula>
    </tableColumn>
    <tableColumn id="3" xr3:uid="{00000000-0010-0000-0C00-000003000000}" name="WEEK" dataDxfId="74">
      <calculatedColumnFormula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calculatedColumnFormula>
    </tableColumn>
    <tableColumn id="4" xr3:uid="{00000000-0010-0000-0C00-000004000000}" name="COMPANY" dataDxfId="73"/>
    <tableColumn id="5" xr3:uid="{00000000-0010-0000-0C00-000005000000}" name="CATEGORY" dataDxfId="72"/>
    <tableColumn id="6" xr3:uid="{00000000-0010-0000-0C00-000006000000}" name="MANDAY" dataDxfId="71"/>
    <tableColumn id="7" xr3:uid="{00000000-0010-0000-0C00-000007000000}" name="MANHOUR" dataDxfId="70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ASSENGER_BOAT" displayName="PASSENGER_BOAT" ref="A5:G68" totalsRowShown="0" headerRowDxfId="69" dataDxfId="67" headerRowBorderDxfId="68" tableBorderDxfId="66">
  <autoFilter ref="A5:G68" xr:uid="{00000000-0009-0000-0100-00000E000000}"/>
  <tableColumns count="7">
    <tableColumn id="1" xr3:uid="{00000000-0010-0000-0D00-000001000000}" name="DATE" dataDxfId="65"/>
    <tableColumn id="2" xr3:uid="{00000000-0010-0000-0D00-000002000000}" name="DAY" dataDxfId="64">
      <calculatedColumnFormula>A6</calculatedColumnFormula>
    </tableColumn>
    <tableColumn id="3" xr3:uid="{00000000-0010-0000-0D00-000003000000}" name="WEEK" dataDxfId="63">
      <calculatedColumnFormula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calculatedColumnFormula>
    </tableColumn>
    <tableColumn id="4" xr3:uid="{00000000-0010-0000-0D00-000004000000}" name="COMPANY" dataDxfId="62"/>
    <tableColumn id="5" xr3:uid="{00000000-0010-0000-0D00-000005000000}" name="CATEGORY" dataDxfId="61"/>
    <tableColumn id="6" xr3:uid="{00000000-0010-0000-0D00-000006000000}" name="MANDAY" dataDxfId="60"/>
    <tableColumn id="7" xr3:uid="{00000000-0010-0000-0D00-000007000000}" name="MANHOUR" dataDxfId="59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Lagging" displayName="Lagging" ref="A5:N178" totalsRowShown="0" headerRowDxfId="58" dataDxfId="56" headerRowBorderDxfId="57" tableBorderDxfId="55">
  <autoFilter ref="A5:N178" xr:uid="{00000000-0009-0000-0100-00000F000000}"/>
  <tableColumns count="14">
    <tableColumn id="1" xr3:uid="{00000000-0010-0000-0E00-000001000000}" name="DATE" dataDxfId="54"/>
    <tableColumn id="2" xr3:uid="{00000000-0010-0000-0E00-000002000000}" name="DAY" dataDxfId="53">
      <calculatedColumnFormula>A6</calculatedColumnFormula>
    </tableColumn>
    <tableColumn id="3" xr3:uid="{00000000-0010-0000-0E00-000003000000}" name="WEEK" dataDxfId="52">
      <calculatedColumnFormula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calculatedColumnFormula>
    </tableColumn>
    <tableColumn id="6" xr3:uid="{00000000-0010-0000-0E00-000006000000}" name="FATALITY" dataDxfId="51"/>
    <tableColumn id="7" xr3:uid="{00000000-0010-0000-0E00-000007000000}" name="LTI" dataDxfId="50"/>
    <tableColumn id="4" xr3:uid="{00000000-0010-0000-0E00-000004000000}" name="RWC" dataDxfId="49"/>
    <tableColumn id="5" xr3:uid="{00000000-0010-0000-0E00-000005000000}" name="MTC" dataDxfId="48"/>
    <tableColumn id="8" xr3:uid="{00000000-0010-0000-0E00-000008000000}" name="FAC" dataDxfId="47"/>
    <tableColumn id="9" xr3:uid="{00000000-0010-0000-0E00-000009000000}" name="DANGEROUS OCCURANCE" dataDxfId="46"/>
    <tableColumn id="10" xr3:uid="{00000000-0010-0000-0E00-00000A000000}" name="PROPERTY DAMAGE" dataDxfId="45"/>
    <tableColumn id="11" xr3:uid="{00000000-0010-0000-0E00-00000B000000}" name="NEAR MISS" dataDxfId="44"/>
    <tableColumn id="12" xr3:uid="{00000000-0010-0000-0E00-00000C000000}" name="FIRE INCIDENT" dataDxfId="43"/>
    <tableColumn id="13" xr3:uid="{00000000-0010-0000-0E00-00000D000000}" name="REGULATORY NON COMPLIANCE" dataDxfId="42"/>
    <tableColumn id="14" xr3:uid="{00000000-0010-0000-0E00-00000E000000}" name="LoPC" dataDxfId="41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Leading" displayName="Leading" ref="A5:O171" totalsRowShown="0" headerRowDxfId="40" dataDxfId="38" headerRowBorderDxfId="39" tableBorderDxfId="37">
  <autoFilter ref="A5:O171" xr:uid="{00000000-0009-0000-0100-000010000000}"/>
  <tableColumns count="15">
    <tableColumn id="1" xr3:uid="{00000000-0010-0000-0F00-000001000000}" name="DATE" dataDxfId="36"/>
    <tableColumn id="2" xr3:uid="{00000000-0010-0000-0F00-000002000000}" name="DAY" dataDxfId="35">
      <calculatedColumnFormula>A6</calculatedColumnFormula>
    </tableColumn>
    <tableColumn id="3" xr3:uid="{00000000-0010-0000-0F00-000003000000}" name="WEEK" dataDxfId="34">
      <calculatedColumnFormula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calculatedColumnFormula>
    </tableColumn>
    <tableColumn id="6" xr3:uid="{00000000-0010-0000-0F00-000006000000}" name="HSE INDUCTION" dataDxfId="33"/>
    <tableColumn id="7" xr3:uid="{00000000-0010-0000-0F00-000007000000}" name="TOOLBOX MEETING" dataDxfId="32"/>
    <tableColumn id="4" xr3:uid="{00000000-0010-0000-0F00-000004000000}" name="HSE COORDINATION MEETING" dataDxfId="31"/>
    <tableColumn id="5" xr3:uid="{00000000-0010-0000-0F00-000005000000}" name="HSE COMMITTEE MEETING" dataDxfId="30"/>
    <tableColumn id="8" xr3:uid="{00000000-0010-0000-0F00-000008000000}" name="EMERGENCY DRILL" dataDxfId="29"/>
    <tableColumn id="15" xr3:uid="{00000000-0010-0000-0F00-00000F000000}" name="WORKPLACE INSPECTION" dataDxfId="28"/>
    <tableColumn id="16" xr3:uid="{00000000-0010-0000-0F00-000010000000}" name="HSE WALKABOUT" dataDxfId="27"/>
    <tableColumn id="17" xr3:uid="{00000000-0010-0000-0F00-000011000000}" name="WEEKLY HOUSEKEEPING" dataDxfId="26"/>
    <tableColumn id="9" xr3:uid="{00000000-0010-0000-0F00-000009000000}" name="BESAFE CARD" dataDxfId="25"/>
    <tableColumn id="10" xr3:uid="{00000000-0010-0000-0F00-00000A000000}" name="HSE CAMPAIGN" dataDxfId="24"/>
    <tableColumn id="11" xr3:uid="{00000000-0010-0000-0F00-00000B000000}" name="REWARDS &amp; RECOGNITION" dataDxfId="23"/>
    <tableColumn id="12" xr3:uid="{00000000-0010-0000-0F00-00000C000000}" name="CONSEQUENCE MANAGEMENT" dataDxfId="2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3" displayName="Table3" ref="A1:M143" totalsRowShown="0" headerRowDxfId="21" dataDxfId="20" tableBorderDxfId="19">
  <autoFilter ref="A1:M143" xr:uid="{00000000-0009-0000-0100-000011000000}"/>
  <tableColumns count="13">
    <tableColumn id="1" xr3:uid="{00000000-0010-0000-1000-000001000000}" name="No" dataDxfId="18"/>
    <tableColumn id="2" xr3:uid="{00000000-0010-0000-1000-000002000000}" name="BSC No" dataDxfId="17"/>
    <tableColumn id="3" xr3:uid="{00000000-0010-0000-1000-000003000000}" name="BSC Type" dataDxfId="16"/>
    <tableColumn id="4" xr3:uid="{00000000-0010-0000-1000-000004000000}" name="Hazard Type RAW" dataDxfId="15"/>
    <tableColumn id="10" xr3:uid="{00000000-0010-0000-1000-00000A000000}" name="Hazard Type" dataDxfId="14">
      <calculatedColumnFormula>IF(Table3[[#This Row],[Hazard Type RAW]]="NA",Table3[[#This Row],[BSC Type]],IF(Table3[[#This Row],[Hazard Type RAW]]="Others","Others - "&amp;Table3[[#This Row],[BSC Type]],Table3[[#This Row],[Hazard Type RAW]]))</calculatedColumnFormula>
    </tableColumn>
    <tableColumn id="5" xr3:uid="{00000000-0010-0000-1000-000005000000}" name="Date Reported" dataDxfId="13"/>
    <tableColumn id="11" xr3:uid="{00000000-0010-0000-1000-00000B000000}" name="Week" dataDxfId="12" dataCellStyle="Normal 2">
      <calculatedColumnFormula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calculatedColumnFormula>
    </tableColumn>
    <tableColumn id="6" xr3:uid="{00000000-0010-0000-1000-000006000000}" name="Date Observed" dataDxfId="11"/>
    <tableColumn id="7" xr3:uid="{00000000-0010-0000-1000-000007000000}" name="Observed By" dataDxfId="10"/>
    <tableColumn id="12" xr3:uid="{00000000-0010-0000-1000-00000C000000}" name="Company" dataDxfId="9" dataCellStyle="Normal 2"/>
    <tableColumn id="13" xr3:uid="{00000000-0010-0000-1000-00000D000000}" name="Position" dataDxfId="8" dataCellStyle="Normal 2"/>
    <tableColumn id="8" xr3:uid="{00000000-0010-0000-1000-000008000000}" name="What and where hazard/act observed and_x000a_discussed with worker/supervisor/manager?" dataDxfId="7"/>
    <tableColumn id="9" xr3:uid="{00000000-0010-0000-1000-000009000000}" name="Status" dataDxfId="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Leading20" displayName="Leading20" ref="A5:L171" totalsRowShown="0" headerRowDxfId="223" dataDxfId="221" headerRowBorderDxfId="222" tableBorderDxfId="220">
  <autoFilter ref="A5:L171" xr:uid="{00000000-0009-0000-0100-000012000000}"/>
  <tableColumns count="12">
    <tableColumn id="1" xr3:uid="{00000000-0010-0000-1100-000001000000}" name="DATE" dataDxfId="219"/>
    <tableColumn id="2" xr3:uid="{00000000-0010-0000-1100-000002000000}" name="DAY" dataDxfId="218">
      <calculatedColumnFormula>A6</calculatedColumnFormula>
    </tableColumn>
    <tableColumn id="3" xr3:uid="{00000000-0010-0000-1100-000003000000}" name="WEEK" dataDxfId="217">
      <calculatedColumnFormula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calculatedColumnFormula>
    </tableColumn>
    <tableColumn id="6" xr3:uid="{00000000-0010-0000-1100-000006000000}" name="SIC" dataDxfId="216"/>
    <tableColumn id="7" xr3:uid="{00000000-0010-0000-1100-000007000000}" name="PTW NOVADE" dataDxfId="215"/>
    <tableColumn id="4" xr3:uid="{00000000-0010-0000-1100-000004000000}" name="EMERGENCY RESPONSE" dataDxfId="214"/>
    <tableColumn id="5" xr3:uid="{00000000-0010-0000-1100-000005000000}" name="FIRE WATCH" dataDxfId="213"/>
    <tableColumn id="8" xr3:uid="{00000000-0010-0000-1100-000008000000}" name="CHEMICAL HANDLING" dataDxfId="212"/>
    <tableColumn id="15" xr3:uid="{00000000-0010-0000-1100-00000F000000}" name="WASTE MANAGEMENT" dataDxfId="211"/>
    <tableColumn id="9" xr3:uid="{00000000-0010-0000-1100-000009000000}" name="ELECTRICAL SAFETY" dataDxfId="210"/>
    <tableColumn id="10" xr3:uid="{00000000-0010-0000-1100-00000A000000}" name="PPE AWARENESS" dataDxfId="209"/>
    <tableColumn id="11" xr3:uid="{00000000-0010-0000-1100-00000B000000}" name="HAND TOOLS &amp; POWER TOOLS SAFETY" dataDxfId="20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G178"/>
  <sheetViews>
    <sheetView topLeftCell="A157" zoomScale="115" zoomScaleNormal="115" workbookViewId="0">
      <selection activeCell="J184" sqref="J184"/>
    </sheetView>
  </sheetViews>
  <sheetFormatPr defaultColWidth="8.85546875" defaultRowHeight="12.75" x14ac:dyDescent="0.25"/>
  <cols>
    <col min="1" max="1" width="18.7109375" style="1" customWidth="1"/>
    <col min="2" max="2" width="13.7109375" style="1" customWidth="1"/>
    <col min="3" max="3" width="17.85546875" style="1" bestFit="1" customWidth="1"/>
    <col min="4" max="7" width="21.85546875" style="1" customWidth="1"/>
    <col min="8" max="8" width="8.85546875" style="1" customWidth="1"/>
    <col min="9" max="16384" width="8.85546875" style="1"/>
  </cols>
  <sheetData>
    <row r="5" spans="1:7" x14ac:dyDescent="0.25">
      <c r="A5" s="6" t="s">
        <v>0</v>
      </c>
      <c r="B5" s="7" t="s">
        <v>1</v>
      </c>
      <c r="C5" s="7" t="s">
        <v>2</v>
      </c>
      <c r="D5" s="7" t="s">
        <v>12</v>
      </c>
      <c r="E5" s="7" t="s">
        <v>13</v>
      </c>
      <c r="F5" s="7" t="s">
        <v>14</v>
      </c>
      <c r="G5" s="8" t="s">
        <v>15</v>
      </c>
    </row>
    <row r="6" spans="1:7" x14ac:dyDescent="0.25">
      <c r="A6" s="4">
        <v>46125</v>
      </c>
      <c r="B6" s="2">
        <f t="shared" ref="B6:B37" si="0">A6</f>
        <v>46125</v>
      </c>
      <c r="C6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W01 (11/4 - 17/4)</v>
      </c>
      <c r="D6" s="3" t="s">
        <v>16</v>
      </c>
      <c r="E6" s="3" t="s">
        <v>17</v>
      </c>
      <c r="F6" s="3">
        <v>6</v>
      </c>
      <c r="G6" s="5">
        <v>48</v>
      </c>
    </row>
    <row r="7" spans="1:7" x14ac:dyDescent="0.25">
      <c r="A7" s="4">
        <v>46126</v>
      </c>
      <c r="B7" s="2">
        <f t="shared" si="0"/>
        <v>46126</v>
      </c>
      <c r="C7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W01 (11/4 - 17/4)</v>
      </c>
      <c r="D7" s="3" t="s">
        <v>16</v>
      </c>
      <c r="E7" s="3" t="s">
        <v>17</v>
      </c>
      <c r="F7" s="3">
        <v>6</v>
      </c>
      <c r="G7" s="5">
        <v>48</v>
      </c>
    </row>
    <row r="8" spans="1:7" x14ac:dyDescent="0.25">
      <c r="A8" s="4">
        <v>46127</v>
      </c>
      <c r="B8" s="2">
        <f t="shared" si="0"/>
        <v>46127</v>
      </c>
      <c r="C8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W01 (11/4 - 17/4)</v>
      </c>
      <c r="D8" s="3" t="s">
        <v>16</v>
      </c>
      <c r="E8" s="3" t="s">
        <v>17</v>
      </c>
      <c r="F8" s="3">
        <v>6</v>
      </c>
      <c r="G8" s="5">
        <v>48</v>
      </c>
    </row>
    <row r="9" spans="1:7" x14ac:dyDescent="0.25">
      <c r="A9" s="4">
        <v>46128</v>
      </c>
      <c r="B9" s="2">
        <f t="shared" si="0"/>
        <v>46128</v>
      </c>
      <c r="C9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W01 (11/4 - 17/4)</v>
      </c>
      <c r="D9" s="3" t="s">
        <v>16</v>
      </c>
      <c r="E9" s="3" t="s">
        <v>17</v>
      </c>
      <c r="F9" s="3">
        <v>7</v>
      </c>
      <c r="G9" s="5">
        <v>56</v>
      </c>
    </row>
    <row r="10" spans="1:7" x14ac:dyDescent="0.25">
      <c r="A10" s="4">
        <v>46129</v>
      </c>
      <c r="B10" s="2">
        <f t="shared" si="0"/>
        <v>46129</v>
      </c>
      <c r="C10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W01 (11/4 - 17/4)</v>
      </c>
      <c r="D10" s="3" t="s">
        <v>16</v>
      </c>
      <c r="E10" s="3" t="s">
        <v>17</v>
      </c>
      <c r="F10" s="3">
        <v>7</v>
      </c>
      <c r="G10" s="5">
        <v>56</v>
      </c>
    </row>
    <row r="11" spans="1:7" x14ac:dyDescent="0.25">
      <c r="A11" s="4">
        <v>46130</v>
      </c>
      <c r="B11" s="2">
        <f t="shared" si="0"/>
        <v>46130</v>
      </c>
      <c r="C11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W02 (18/4 - 24/4)</v>
      </c>
      <c r="D11" s="3" t="s">
        <v>16</v>
      </c>
      <c r="E11" s="3" t="s">
        <v>17</v>
      </c>
      <c r="F11" s="3">
        <v>5</v>
      </c>
      <c r="G11" s="5">
        <v>40</v>
      </c>
    </row>
    <row r="12" spans="1:7" x14ac:dyDescent="0.25">
      <c r="A12" s="4">
        <v>46131</v>
      </c>
      <c r="B12" s="2">
        <f t="shared" si="0"/>
        <v>46131</v>
      </c>
      <c r="C12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W02 (18/4 - 24/4)</v>
      </c>
      <c r="D12" s="3" t="s">
        <v>16</v>
      </c>
      <c r="E12" s="3" t="s">
        <v>17</v>
      </c>
      <c r="F12" s="3">
        <v>0</v>
      </c>
      <c r="G12" s="5">
        <v>0</v>
      </c>
    </row>
    <row r="13" spans="1:7" x14ac:dyDescent="0.25">
      <c r="A13" s="4">
        <v>46132</v>
      </c>
      <c r="B13" s="2">
        <f t="shared" si="0"/>
        <v>46132</v>
      </c>
      <c r="C13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W02 (18/4 - 24/4)</v>
      </c>
      <c r="D13" s="3" t="s">
        <v>16</v>
      </c>
      <c r="E13" s="3" t="s">
        <v>17</v>
      </c>
      <c r="F13" s="3">
        <v>7</v>
      </c>
      <c r="G13" s="5">
        <v>56</v>
      </c>
    </row>
    <row r="14" spans="1:7" x14ac:dyDescent="0.25">
      <c r="A14" s="4">
        <v>46133</v>
      </c>
      <c r="B14" s="2">
        <f t="shared" si="0"/>
        <v>46133</v>
      </c>
      <c r="C14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W02 (18/4 - 24/4)</v>
      </c>
      <c r="D14" s="3" t="s">
        <v>16</v>
      </c>
      <c r="E14" s="3" t="s">
        <v>17</v>
      </c>
      <c r="F14" s="3">
        <v>7</v>
      </c>
      <c r="G14" s="5">
        <v>56</v>
      </c>
    </row>
    <row r="15" spans="1:7" x14ac:dyDescent="0.25">
      <c r="A15" s="4">
        <v>46134</v>
      </c>
      <c r="B15" s="2">
        <f t="shared" si="0"/>
        <v>46134</v>
      </c>
      <c r="C15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W02 (18/4 - 24/4)</v>
      </c>
      <c r="D15" s="3" t="s">
        <v>16</v>
      </c>
      <c r="E15" s="3" t="s">
        <v>17</v>
      </c>
      <c r="F15" s="3">
        <v>7</v>
      </c>
      <c r="G15" s="5">
        <v>56</v>
      </c>
    </row>
    <row r="16" spans="1:7" x14ac:dyDescent="0.25">
      <c r="A16" s="4">
        <v>46135</v>
      </c>
      <c r="B16" s="2">
        <f t="shared" si="0"/>
        <v>46135</v>
      </c>
      <c r="C16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W02 (18/4 - 24/4)</v>
      </c>
      <c r="D16" s="3" t="s">
        <v>16</v>
      </c>
      <c r="E16" s="3" t="s">
        <v>17</v>
      </c>
      <c r="F16" s="3">
        <v>7</v>
      </c>
      <c r="G16" s="5">
        <v>56</v>
      </c>
    </row>
    <row r="17" spans="1:7" x14ac:dyDescent="0.25">
      <c r="A17" s="4">
        <v>46136</v>
      </c>
      <c r="B17" s="2">
        <f t="shared" si="0"/>
        <v>46136</v>
      </c>
      <c r="C17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W02 (18/4 - 24/4)</v>
      </c>
      <c r="D17" s="3" t="s">
        <v>16</v>
      </c>
      <c r="E17" s="3" t="s">
        <v>17</v>
      </c>
      <c r="F17" s="3">
        <v>7</v>
      </c>
      <c r="G17" s="5">
        <v>56</v>
      </c>
    </row>
    <row r="18" spans="1:7" x14ac:dyDescent="0.25">
      <c r="A18" s="4">
        <v>46137</v>
      </c>
      <c r="B18" s="2">
        <f t="shared" si="0"/>
        <v>46137</v>
      </c>
      <c r="C18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W03 (25/4 - 1/5)</v>
      </c>
      <c r="D18" s="3" t="s">
        <v>16</v>
      </c>
      <c r="E18" s="3" t="s">
        <v>17</v>
      </c>
      <c r="F18" s="3">
        <v>5</v>
      </c>
      <c r="G18" s="5">
        <v>40</v>
      </c>
    </row>
    <row r="19" spans="1:7" x14ac:dyDescent="0.25">
      <c r="A19" s="4">
        <v>46138</v>
      </c>
      <c r="B19" s="2">
        <f t="shared" si="0"/>
        <v>46138</v>
      </c>
      <c r="C19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W03 (25/4 - 1/5)</v>
      </c>
      <c r="D19" s="3" t="s">
        <v>16</v>
      </c>
      <c r="E19" s="3" t="s">
        <v>17</v>
      </c>
      <c r="F19" s="3">
        <v>0</v>
      </c>
      <c r="G19" s="5">
        <v>0</v>
      </c>
    </row>
    <row r="20" spans="1:7" x14ac:dyDescent="0.25">
      <c r="A20" s="4">
        <v>46139</v>
      </c>
      <c r="B20" s="2">
        <f t="shared" si="0"/>
        <v>46139</v>
      </c>
      <c r="C20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W03 (25/4 - 1/5)</v>
      </c>
      <c r="D20" s="3" t="s">
        <v>16</v>
      </c>
      <c r="E20" s="3" t="s">
        <v>17</v>
      </c>
      <c r="F20" s="3">
        <v>6</v>
      </c>
      <c r="G20" s="5">
        <v>48</v>
      </c>
    </row>
    <row r="21" spans="1:7" x14ac:dyDescent="0.25">
      <c r="A21" s="4">
        <v>46140</v>
      </c>
      <c r="B21" s="2">
        <f t="shared" si="0"/>
        <v>46140</v>
      </c>
      <c r="C21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W03 (25/4 - 1/5)</v>
      </c>
      <c r="D21" s="3" t="s">
        <v>16</v>
      </c>
      <c r="E21" s="3" t="s">
        <v>17</v>
      </c>
      <c r="F21" s="3">
        <v>6</v>
      </c>
      <c r="G21" s="5">
        <v>48</v>
      </c>
    </row>
    <row r="22" spans="1:7" x14ac:dyDescent="0.25">
      <c r="A22" s="4">
        <v>46141</v>
      </c>
      <c r="B22" s="2">
        <f t="shared" si="0"/>
        <v>46141</v>
      </c>
      <c r="C22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W03 (25/4 - 1/5)</v>
      </c>
      <c r="D22" s="3" t="s">
        <v>16</v>
      </c>
      <c r="E22" s="3" t="s">
        <v>17</v>
      </c>
      <c r="F22" s="3">
        <v>5</v>
      </c>
      <c r="G22" s="5">
        <v>40</v>
      </c>
    </row>
    <row r="23" spans="1:7" x14ac:dyDescent="0.25">
      <c r="A23" s="4">
        <v>46142</v>
      </c>
      <c r="B23" s="2">
        <f t="shared" si="0"/>
        <v>46142</v>
      </c>
      <c r="C23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W03 (25/4 - 1/5)</v>
      </c>
      <c r="D23" s="3" t="s">
        <v>16</v>
      </c>
      <c r="E23" s="3" t="s">
        <v>17</v>
      </c>
      <c r="F23" s="3">
        <v>5</v>
      </c>
      <c r="G23" s="5">
        <v>40</v>
      </c>
    </row>
    <row r="24" spans="1:7" x14ac:dyDescent="0.25">
      <c r="A24" s="4">
        <v>46143</v>
      </c>
      <c r="B24" s="2">
        <f t="shared" si="0"/>
        <v>46143</v>
      </c>
      <c r="C24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W03 (25/4 - 1/5)</v>
      </c>
      <c r="D24" s="3" t="s">
        <v>16</v>
      </c>
      <c r="E24" s="3" t="s">
        <v>17</v>
      </c>
      <c r="F24" s="3">
        <v>0</v>
      </c>
      <c r="G24" s="5">
        <v>0</v>
      </c>
    </row>
    <row r="25" spans="1:7" x14ac:dyDescent="0.25">
      <c r="A25" s="4">
        <v>46144</v>
      </c>
      <c r="B25" s="2">
        <f t="shared" si="0"/>
        <v>46144</v>
      </c>
      <c r="C25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W04 (2/5 - 8/5)</v>
      </c>
      <c r="D25" s="3" t="s">
        <v>16</v>
      </c>
      <c r="E25" s="3" t="s">
        <v>17</v>
      </c>
      <c r="F25" s="3">
        <v>5</v>
      </c>
      <c r="G25" s="5">
        <v>40</v>
      </c>
    </row>
    <row r="26" spans="1:7" x14ac:dyDescent="0.25">
      <c r="A26" s="4">
        <v>46145</v>
      </c>
      <c r="B26" s="2">
        <f t="shared" si="0"/>
        <v>46145</v>
      </c>
      <c r="C26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W04 (2/5 - 8/5)</v>
      </c>
      <c r="D26" s="3" t="s">
        <v>16</v>
      </c>
      <c r="E26" s="3" t="s">
        <v>17</v>
      </c>
      <c r="F26" s="3">
        <v>0</v>
      </c>
      <c r="G26" s="5">
        <v>0</v>
      </c>
    </row>
    <row r="27" spans="1:7" x14ac:dyDescent="0.25">
      <c r="A27" s="4">
        <v>46146</v>
      </c>
      <c r="B27" s="2">
        <f t="shared" si="0"/>
        <v>46146</v>
      </c>
      <c r="C27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W04 (2/5 - 8/5)</v>
      </c>
      <c r="D27" s="3" t="s">
        <v>16</v>
      </c>
      <c r="E27" s="3" t="s">
        <v>17</v>
      </c>
      <c r="F27" s="3">
        <v>6</v>
      </c>
      <c r="G27" s="5">
        <v>48</v>
      </c>
    </row>
    <row r="28" spans="1:7" x14ac:dyDescent="0.25">
      <c r="A28" s="4">
        <v>46147</v>
      </c>
      <c r="B28" s="2">
        <f t="shared" si="0"/>
        <v>46147</v>
      </c>
      <c r="C28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W04 (2/5 - 8/5)</v>
      </c>
      <c r="D28" s="3" t="s">
        <v>16</v>
      </c>
      <c r="E28" s="3" t="s">
        <v>17</v>
      </c>
      <c r="F28" s="3">
        <v>7</v>
      </c>
      <c r="G28" s="5">
        <v>56</v>
      </c>
    </row>
    <row r="29" spans="1:7" x14ac:dyDescent="0.25">
      <c r="A29" s="4">
        <v>46148</v>
      </c>
      <c r="B29" s="2">
        <f t="shared" si="0"/>
        <v>46148</v>
      </c>
      <c r="C29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W04 (2/5 - 8/5)</v>
      </c>
      <c r="D29" s="3" t="s">
        <v>16</v>
      </c>
      <c r="E29" s="3" t="s">
        <v>17</v>
      </c>
      <c r="F29" s="3">
        <v>6</v>
      </c>
      <c r="G29" s="5">
        <v>48</v>
      </c>
    </row>
    <row r="30" spans="1:7" x14ac:dyDescent="0.25">
      <c r="A30" s="4">
        <v>46149</v>
      </c>
      <c r="B30" s="2">
        <f t="shared" si="0"/>
        <v>46149</v>
      </c>
      <c r="C30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W04 (2/5 - 8/5)</v>
      </c>
      <c r="D30" s="3" t="s">
        <v>16</v>
      </c>
      <c r="E30" s="3" t="s">
        <v>17</v>
      </c>
      <c r="F30" s="3">
        <v>8</v>
      </c>
      <c r="G30" s="5">
        <v>64</v>
      </c>
    </row>
    <row r="31" spans="1:7" x14ac:dyDescent="0.25">
      <c r="A31" s="4">
        <v>46150</v>
      </c>
      <c r="B31" s="2">
        <f t="shared" si="0"/>
        <v>46150</v>
      </c>
      <c r="C31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W04 (2/5 - 8/5)</v>
      </c>
      <c r="D31" s="3" t="s">
        <v>16</v>
      </c>
      <c r="E31" s="3" t="s">
        <v>17</v>
      </c>
      <c r="F31" s="3">
        <v>9</v>
      </c>
      <c r="G31" s="5">
        <v>72</v>
      </c>
    </row>
    <row r="32" spans="1:7" x14ac:dyDescent="0.25">
      <c r="A32" s="4">
        <v>46151</v>
      </c>
      <c r="B32" s="2">
        <f t="shared" si="0"/>
        <v>46151</v>
      </c>
      <c r="C32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W05 (9/5 - 15/5)</v>
      </c>
      <c r="D32" s="3" t="s">
        <v>16</v>
      </c>
      <c r="E32" s="3" t="s">
        <v>17</v>
      </c>
      <c r="F32" s="3">
        <v>7</v>
      </c>
      <c r="G32" s="5">
        <v>56</v>
      </c>
    </row>
    <row r="33" spans="1:7" x14ac:dyDescent="0.25">
      <c r="A33" s="4">
        <v>46152</v>
      </c>
      <c r="B33" s="2">
        <f t="shared" si="0"/>
        <v>46152</v>
      </c>
      <c r="C33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W05 (9/5 - 15/5)</v>
      </c>
      <c r="D33" s="3" t="s">
        <v>16</v>
      </c>
      <c r="E33" s="3" t="s">
        <v>17</v>
      </c>
      <c r="F33" s="3">
        <v>0</v>
      </c>
      <c r="G33" s="5">
        <v>0</v>
      </c>
    </row>
    <row r="34" spans="1:7" x14ac:dyDescent="0.25">
      <c r="A34" s="4">
        <v>46153</v>
      </c>
      <c r="B34" s="2">
        <f t="shared" si="0"/>
        <v>46153</v>
      </c>
      <c r="C34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W05 (9/5 - 15/5)</v>
      </c>
      <c r="D34" s="3" t="s">
        <v>16</v>
      </c>
      <c r="E34" s="3" t="s">
        <v>17</v>
      </c>
      <c r="F34" s="3">
        <v>10</v>
      </c>
      <c r="G34" s="5">
        <v>80</v>
      </c>
    </row>
    <row r="35" spans="1:7" x14ac:dyDescent="0.25">
      <c r="A35" s="4">
        <v>46154</v>
      </c>
      <c r="B35" s="2">
        <f t="shared" si="0"/>
        <v>46154</v>
      </c>
      <c r="C35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W05 (9/5 - 15/5)</v>
      </c>
      <c r="D35" s="3" t="s">
        <v>16</v>
      </c>
      <c r="E35" s="3" t="s">
        <v>17</v>
      </c>
      <c r="F35" s="3">
        <v>10</v>
      </c>
      <c r="G35" s="5">
        <v>80</v>
      </c>
    </row>
    <row r="36" spans="1:7" x14ac:dyDescent="0.25">
      <c r="A36" s="4">
        <v>46155</v>
      </c>
      <c r="B36" s="2">
        <f t="shared" si="0"/>
        <v>46155</v>
      </c>
      <c r="C36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W05 (9/5 - 15/5)</v>
      </c>
      <c r="D36" s="3" t="s">
        <v>16</v>
      </c>
      <c r="E36" s="3" t="s">
        <v>17</v>
      </c>
      <c r="F36" s="3">
        <v>12</v>
      </c>
      <c r="G36" s="5">
        <v>96</v>
      </c>
    </row>
    <row r="37" spans="1:7" x14ac:dyDescent="0.25">
      <c r="A37" s="4">
        <v>46156</v>
      </c>
      <c r="B37" s="2">
        <f t="shared" si="0"/>
        <v>46156</v>
      </c>
      <c r="C37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W05 (9/5 - 15/5)</v>
      </c>
      <c r="D37" s="3" t="s">
        <v>16</v>
      </c>
      <c r="E37" s="3" t="s">
        <v>17</v>
      </c>
      <c r="F37" s="3">
        <v>13</v>
      </c>
      <c r="G37" s="5">
        <v>104</v>
      </c>
    </row>
    <row r="38" spans="1:7" x14ac:dyDescent="0.25">
      <c r="A38" s="4">
        <v>46157</v>
      </c>
      <c r="B38" s="2">
        <f t="shared" ref="B38:B69" si="1">A38</f>
        <v>46157</v>
      </c>
      <c r="C38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W05 (9/5 - 15/5)</v>
      </c>
      <c r="D38" s="3" t="s">
        <v>16</v>
      </c>
      <c r="E38" s="3" t="s">
        <v>17</v>
      </c>
      <c r="F38" s="3">
        <v>14</v>
      </c>
      <c r="G38" s="5">
        <v>112</v>
      </c>
    </row>
    <row r="39" spans="1:7" x14ac:dyDescent="0.25">
      <c r="A39" s="4">
        <v>46158</v>
      </c>
      <c r="B39" s="2">
        <f t="shared" si="1"/>
        <v>46158</v>
      </c>
      <c r="C39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W06 (16/5 - 22/5)</v>
      </c>
      <c r="D39" s="3" t="s">
        <v>16</v>
      </c>
      <c r="E39" s="3" t="s">
        <v>17</v>
      </c>
      <c r="F39" s="3">
        <v>10</v>
      </c>
      <c r="G39" s="5">
        <v>80</v>
      </c>
    </row>
    <row r="40" spans="1:7" x14ac:dyDescent="0.25">
      <c r="A40" s="4">
        <v>46159</v>
      </c>
      <c r="B40" s="2">
        <f t="shared" si="1"/>
        <v>46159</v>
      </c>
      <c r="C40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W06 (16/5 - 22/5)</v>
      </c>
      <c r="D40" s="3" t="s">
        <v>16</v>
      </c>
      <c r="E40" s="3" t="s">
        <v>17</v>
      </c>
      <c r="F40" s="3">
        <v>0</v>
      </c>
      <c r="G40" s="5">
        <v>0</v>
      </c>
    </row>
    <row r="41" spans="1:7" x14ac:dyDescent="0.25">
      <c r="A41" s="4">
        <v>46160</v>
      </c>
      <c r="B41" s="2">
        <f t="shared" si="1"/>
        <v>46160</v>
      </c>
      <c r="C41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W06 (16/5 - 22/5)</v>
      </c>
      <c r="D41" s="3" t="s">
        <v>16</v>
      </c>
      <c r="E41" s="3" t="s">
        <v>17</v>
      </c>
      <c r="F41" s="3">
        <v>16</v>
      </c>
      <c r="G41" s="5">
        <v>128</v>
      </c>
    </row>
    <row r="42" spans="1:7" x14ac:dyDescent="0.25">
      <c r="A42" s="4">
        <v>46161</v>
      </c>
      <c r="B42" s="2">
        <f t="shared" si="1"/>
        <v>46161</v>
      </c>
      <c r="C42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W06 (16/5 - 22/5)</v>
      </c>
      <c r="D42" s="3" t="s">
        <v>16</v>
      </c>
      <c r="E42" s="3" t="s">
        <v>17</v>
      </c>
      <c r="F42" s="3">
        <v>16</v>
      </c>
      <c r="G42" s="5">
        <v>128</v>
      </c>
    </row>
    <row r="43" spans="1:7" x14ac:dyDescent="0.25">
      <c r="A43" s="4">
        <v>46162</v>
      </c>
      <c r="B43" s="2">
        <f t="shared" si="1"/>
        <v>46162</v>
      </c>
      <c r="C43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W06 (16/5 - 22/5)</v>
      </c>
      <c r="D43" s="3" t="s">
        <v>16</v>
      </c>
      <c r="E43" s="3" t="s">
        <v>17</v>
      </c>
      <c r="F43" s="3">
        <v>17</v>
      </c>
      <c r="G43" s="5">
        <v>136</v>
      </c>
    </row>
    <row r="44" spans="1:7" x14ac:dyDescent="0.25">
      <c r="A44" s="4">
        <v>46163</v>
      </c>
      <c r="B44" s="2">
        <f t="shared" si="1"/>
        <v>46163</v>
      </c>
      <c r="C44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W06 (16/5 - 22/5)</v>
      </c>
      <c r="D44" s="3" t="s">
        <v>16</v>
      </c>
      <c r="E44" s="3" t="s">
        <v>17</v>
      </c>
      <c r="F44" s="3">
        <v>17</v>
      </c>
      <c r="G44" s="5">
        <v>136</v>
      </c>
    </row>
    <row r="45" spans="1:7" x14ac:dyDescent="0.25">
      <c r="A45" s="4">
        <v>46164</v>
      </c>
      <c r="B45" s="2">
        <f t="shared" si="1"/>
        <v>46164</v>
      </c>
      <c r="C45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W06 (16/5 - 22/5)</v>
      </c>
      <c r="D45" s="3" t="s">
        <v>16</v>
      </c>
      <c r="E45" s="3" t="s">
        <v>17</v>
      </c>
      <c r="F45" s="3">
        <v>17</v>
      </c>
      <c r="G45" s="5">
        <v>136</v>
      </c>
    </row>
    <row r="46" spans="1:7" x14ac:dyDescent="0.25">
      <c r="A46" s="4">
        <v>46165</v>
      </c>
      <c r="B46" s="2">
        <f t="shared" si="1"/>
        <v>46165</v>
      </c>
      <c r="C46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W07 (23/5 - 29/5)</v>
      </c>
      <c r="D46" s="3" t="s">
        <v>16</v>
      </c>
      <c r="E46" s="3" t="s">
        <v>17</v>
      </c>
      <c r="F46" s="3">
        <v>15</v>
      </c>
      <c r="G46" s="5">
        <v>120</v>
      </c>
    </row>
    <row r="47" spans="1:7" x14ac:dyDescent="0.25">
      <c r="A47" s="4">
        <v>46166</v>
      </c>
      <c r="B47" s="2">
        <f t="shared" si="1"/>
        <v>46166</v>
      </c>
      <c r="C47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W07 (23/5 - 29/5)</v>
      </c>
      <c r="D47" s="3" t="s">
        <v>16</v>
      </c>
      <c r="E47" s="3" t="s">
        <v>17</v>
      </c>
      <c r="F47" s="3">
        <v>0</v>
      </c>
      <c r="G47" s="5">
        <v>0</v>
      </c>
    </row>
    <row r="48" spans="1:7" x14ac:dyDescent="0.25">
      <c r="A48" s="4">
        <v>46167</v>
      </c>
      <c r="B48" s="2">
        <f t="shared" si="1"/>
        <v>46167</v>
      </c>
      <c r="C48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W07 (23/5 - 29/5)</v>
      </c>
      <c r="D48" s="3" t="s">
        <v>16</v>
      </c>
      <c r="E48" s="3" t="s">
        <v>17</v>
      </c>
      <c r="F48" s="3">
        <v>17</v>
      </c>
      <c r="G48" s="5">
        <v>136</v>
      </c>
    </row>
    <row r="49" spans="1:7" x14ac:dyDescent="0.25">
      <c r="A49" s="4">
        <v>46168</v>
      </c>
      <c r="B49" s="2">
        <f t="shared" si="1"/>
        <v>46168</v>
      </c>
      <c r="C49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W07 (23/5 - 29/5)</v>
      </c>
      <c r="D49" s="3" t="s">
        <v>16</v>
      </c>
      <c r="E49" s="3" t="s">
        <v>17</v>
      </c>
      <c r="F49" s="3">
        <v>17</v>
      </c>
      <c r="G49" s="5">
        <v>136</v>
      </c>
    </row>
    <row r="50" spans="1:7" x14ac:dyDescent="0.25">
      <c r="A50" s="4">
        <v>46169</v>
      </c>
      <c r="B50" s="2">
        <f t="shared" si="1"/>
        <v>46169</v>
      </c>
      <c r="C50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W07 (23/5 - 29/5)</v>
      </c>
      <c r="D50" s="3" t="s">
        <v>16</v>
      </c>
      <c r="E50" s="3" t="s">
        <v>17</v>
      </c>
      <c r="F50" s="3">
        <v>0</v>
      </c>
      <c r="G50" s="5">
        <v>0</v>
      </c>
    </row>
    <row r="51" spans="1:7" x14ac:dyDescent="0.25">
      <c r="A51" s="4">
        <v>46170</v>
      </c>
      <c r="B51" s="2">
        <f t="shared" si="1"/>
        <v>46170</v>
      </c>
      <c r="C51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W07 (23/5 - 29/5)</v>
      </c>
      <c r="D51" s="3" t="s">
        <v>16</v>
      </c>
      <c r="E51" s="3" t="s">
        <v>17</v>
      </c>
      <c r="F51" s="3">
        <v>17</v>
      </c>
      <c r="G51" s="5">
        <v>136</v>
      </c>
    </row>
    <row r="52" spans="1:7" x14ac:dyDescent="0.25">
      <c r="A52" s="4">
        <v>46171</v>
      </c>
      <c r="B52" s="2">
        <f t="shared" si="1"/>
        <v>46171</v>
      </c>
      <c r="C52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W07 (23/5 - 29/5)</v>
      </c>
      <c r="D52" s="3" t="s">
        <v>16</v>
      </c>
      <c r="E52" s="3" t="s">
        <v>17</v>
      </c>
      <c r="F52" s="3">
        <v>16</v>
      </c>
      <c r="G52" s="5">
        <v>128</v>
      </c>
    </row>
    <row r="53" spans="1:7" x14ac:dyDescent="0.25">
      <c r="A53" s="4">
        <v>46172</v>
      </c>
      <c r="B53" s="2">
        <f t="shared" si="1"/>
        <v>46172</v>
      </c>
      <c r="C53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W08 (30/5 - 5/6)</v>
      </c>
      <c r="D53" s="3" t="s">
        <v>16</v>
      </c>
      <c r="E53" s="3" t="s">
        <v>17</v>
      </c>
      <c r="F53" s="3">
        <v>14</v>
      </c>
      <c r="G53" s="5">
        <v>112</v>
      </c>
    </row>
    <row r="54" spans="1:7" x14ac:dyDescent="0.25">
      <c r="A54" s="4">
        <v>46173</v>
      </c>
      <c r="B54" s="2">
        <f t="shared" si="1"/>
        <v>46173</v>
      </c>
      <c r="C54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W08 (30/5 - 5/6)</v>
      </c>
      <c r="D54" s="3" t="s">
        <v>16</v>
      </c>
      <c r="E54" s="3" t="s">
        <v>17</v>
      </c>
      <c r="F54" s="3">
        <v>1</v>
      </c>
      <c r="G54" s="5">
        <v>8</v>
      </c>
    </row>
    <row r="55" spans="1:7" x14ac:dyDescent="0.25">
      <c r="A55" s="4">
        <v>46174</v>
      </c>
      <c r="B55" s="2">
        <f t="shared" si="1"/>
        <v>46174</v>
      </c>
      <c r="C55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W08 (30/5 - 5/6)</v>
      </c>
      <c r="D55" s="3" t="s">
        <v>16</v>
      </c>
      <c r="E55" s="3" t="s">
        <v>17</v>
      </c>
      <c r="F55" s="3">
        <v>0</v>
      </c>
      <c r="G55" s="5">
        <v>0</v>
      </c>
    </row>
    <row r="56" spans="1:7" x14ac:dyDescent="0.25">
      <c r="A56" s="4">
        <v>46175</v>
      </c>
      <c r="B56" s="2">
        <f t="shared" si="1"/>
        <v>46175</v>
      </c>
      <c r="C56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W08 (30/5 - 5/6)</v>
      </c>
      <c r="D56" s="3" t="s">
        <v>16</v>
      </c>
      <c r="E56" s="3" t="s">
        <v>17</v>
      </c>
      <c r="F56" s="3">
        <v>0</v>
      </c>
      <c r="G56" s="5">
        <v>0</v>
      </c>
    </row>
    <row r="57" spans="1:7" x14ac:dyDescent="0.25">
      <c r="A57" s="4">
        <v>46176</v>
      </c>
      <c r="B57" s="2">
        <f t="shared" si="1"/>
        <v>46176</v>
      </c>
      <c r="C57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W08 (30/5 - 5/6)</v>
      </c>
      <c r="D57" s="3" t="s">
        <v>16</v>
      </c>
      <c r="E57" s="3" t="s">
        <v>17</v>
      </c>
      <c r="F57" s="3">
        <v>21</v>
      </c>
      <c r="G57" s="5">
        <v>168</v>
      </c>
    </row>
    <row r="58" spans="1:7" x14ac:dyDescent="0.25">
      <c r="A58" s="4">
        <v>46177</v>
      </c>
      <c r="B58" s="2">
        <f t="shared" si="1"/>
        <v>46177</v>
      </c>
      <c r="C58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W08 (30/5 - 5/6)</v>
      </c>
      <c r="D58" s="3" t="s">
        <v>16</v>
      </c>
      <c r="E58" s="3" t="s">
        <v>17</v>
      </c>
      <c r="F58" s="3">
        <v>21</v>
      </c>
      <c r="G58" s="5">
        <v>168</v>
      </c>
    </row>
    <row r="59" spans="1:7" x14ac:dyDescent="0.25">
      <c r="A59" s="4">
        <v>46178</v>
      </c>
      <c r="B59" s="2">
        <f t="shared" si="1"/>
        <v>46178</v>
      </c>
      <c r="C59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W08 (30/5 - 5/6)</v>
      </c>
      <c r="D59" s="3" t="s">
        <v>16</v>
      </c>
      <c r="E59" s="3" t="s">
        <v>17</v>
      </c>
      <c r="F59" s="3">
        <v>21</v>
      </c>
      <c r="G59" s="5">
        <v>168</v>
      </c>
    </row>
    <row r="60" spans="1:7" x14ac:dyDescent="0.25">
      <c r="A60" s="4">
        <v>46179</v>
      </c>
      <c r="B60" s="2">
        <f t="shared" si="1"/>
        <v>46179</v>
      </c>
      <c r="C60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W09 (6/6 - 12/6)</v>
      </c>
      <c r="D60" s="3" t="s">
        <v>16</v>
      </c>
      <c r="E60" s="3" t="s">
        <v>17</v>
      </c>
      <c r="F60" s="3">
        <v>20</v>
      </c>
      <c r="G60" s="5">
        <v>160</v>
      </c>
    </row>
    <row r="61" spans="1:7" x14ac:dyDescent="0.25">
      <c r="A61" s="4">
        <v>46180</v>
      </c>
      <c r="B61" s="2">
        <f t="shared" si="1"/>
        <v>46180</v>
      </c>
      <c r="C61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W09 (6/6 - 12/6)</v>
      </c>
      <c r="D61" s="3" t="s">
        <v>16</v>
      </c>
      <c r="E61" s="3" t="s">
        <v>17</v>
      </c>
      <c r="F61" s="3">
        <v>0</v>
      </c>
      <c r="G61" s="5">
        <v>0</v>
      </c>
    </row>
    <row r="62" spans="1:7" x14ac:dyDescent="0.25">
      <c r="A62" s="4">
        <v>46181</v>
      </c>
      <c r="B62" s="2">
        <f t="shared" si="1"/>
        <v>46181</v>
      </c>
      <c r="C62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W09 (6/6 - 12/6)</v>
      </c>
      <c r="D62" s="3" t="s">
        <v>16</v>
      </c>
      <c r="E62" s="3" t="s">
        <v>17</v>
      </c>
      <c r="F62" s="3">
        <v>22</v>
      </c>
      <c r="G62" s="5">
        <v>176</v>
      </c>
    </row>
    <row r="63" spans="1:7" x14ac:dyDescent="0.25">
      <c r="A63" s="4">
        <v>46182</v>
      </c>
      <c r="B63" s="2">
        <f t="shared" si="1"/>
        <v>46182</v>
      </c>
      <c r="C63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W09 (6/6 - 12/6)</v>
      </c>
      <c r="D63" s="3" t="s">
        <v>16</v>
      </c>
      <c r="E63" s="3" t="s">
        <v>17</v>
      </c>
      <c r="F63" s="3">
        <v>22</v>
      </c>
      <c r="G63" s="5">
        <v>176</v>
      </c>
    </row>
    <row r="64" spans="1:7" x14ac:dyDescent="0.25">
      <c r="A64" s="4">
        <v>46183</v>
      </c>
      <c r="B64" s="2">
        <f t="shared" si="1"/>
        <v>46183</v>
      </c>
      <c r="C64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W09 (6/6 - 12/6)</v>
      </c>
      <c r="D64" s="3" t="s">
        <v>16</v>
      </c>
      <c r="E64" s="3" t="s">
        <v>17</v>
      </c>
      <c r="F64" s="3">
        <v>22</v>
      </c>
      <c r="G64" s="5">
        <v>176</v>
      </c>
    </row>
    <row r="65" spans="1:7" x14ac:dyDescent="0.25">
      <c r="A65" s="4">
        <v>46184</v>
      </c>
      <c r="B65" s="2">
        <f t="shared" si="1"/>
        <v>46184</v>
      </c>
      <c r="C65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W09 (6/6 - 12/6)</v>
      </c>
      <c r="D65" s="3" t="s">
        <v>16</v>
      </c>
      <c r="E65" s="3" t="s">
        <v>17</v>
      </c>
      <c r="F65" s="3">
        <v>21</v>
      </c>
      <c r="G65" s="5">
        <v>168</v>
      </c>
    </row>
    <row r="66" spans="1:7" x14ac:dyDescent="0.25">
      <c r="A66" s="4">
        <v>46185</v>
      </c>
      <c r="B66" s="2">
        <f t="shared" si="1"/>
        <v>46185</v>
      </c>
      <c r="C66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W09 (6/6 - 12/6)</v>
      </c>
      <c r="D66" s="3" t="s">
        <v>16</v>
      </c>
      <c r="E66" s="3" t="s">
        <v>17</v>
      </c>
      <c r="F66" s="3">
        <v>20</v>
      </c>
      <c r="G66" s="5">
        <v>160</v>
      </c>
    </row>
    <row r="67" spans="1:7" x14ac:dyDescent="0.25">
      <c r="A67" s="4">
        <v>46186</v>
      </c>
      <c r="B67" s="2">
        <f t="shared" si="1"/>
        <v>46186</v>
      </c>
      <c r="C67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W10 (13/6 - 19/6)</v>
      </c>
      <c r="D67" s="3" t="s">
        <v>16</v>
      </c>
      <c r="E67" s="3" t="s">
        <v>17</v>
      </c>
      <c r="F67" s="3">
        <v>16</v>
      </c>
      <c r="G67" s="5">
        <v>128</v>
      </c>
    </row>
    <row r="68" spans="1:7" x14ac:dyDescent="0.25">
      <c r="A68" s="4">
        <v>46187</v>
      </c>
      <c r="B68" s="2">
        <f t="shared" si="1"/>
        <v>46187</v>
      </c>
      <c r="C68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W10 (13/6 - 19/6)</v>
      </c>
      <c r="D68" s="3" t="s">
        <v>16</v>
      </c>
      <c r="E68" s="3" t="s">
        <v>17</v>
      </c>
      <c r="F68" s="3">
        <v>0</v>
      </c>
      <c r="G68" s="5">
        <v>0</v>
      </c>
    </row>
    <row r="69" spans="1:7" x14ac:dyDescent="0.25">
      <c r="A69" s="4">
        <v>46188</v>
      </c>
      <c r="B69" s="2">
        <f t="shared" si="1"/>
        <v>46188</v>
      </c>
      <c r="C69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W10 (13/6 - 19/6)</v>
      </c>
      <c r="D69" s="3" t="s">
        <v>16</v>
      </c>
      <c r="E69" s="3" t="s">
        <v>17</v>
      </c>
      <c r="F69" s="3">
        <v>19</v>
      </c>
      <c r="G69" s="5">
        <v>152</v>
      </c>
    </row>
    <row r="70" spans="1:7" x14ac:dyDescent="0.25">
      <c r="A70" s="4">
        <v>46189</v>
      </c>
      <c r="B70" s="2">
        <f t="shared" ref="B70:B101" si="2">A70</f>
        <v>46189</v>
      </c>
      <c r="C70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W10 (13/6 - 19/6)</v>
      </c>
      <c r="D70" s="3" t="s">
        <v>16</v>
      </c>
      <c r="E70" s="3" t="s">
        <v>17</v>
      </c>
      <c r="F70" s="3">
        <v>19</v>
      </c>
      <c r="G70" s="5">
        <v>152</v>
      </c>
    </row>
    <row r="71" spans="1:7" x14ac:dyDescent="0.25">
      <c r="A71" s="4">
        <v>46190</v>
      </c>
      <c r="B71" s="2">
        <f t="shared" si="2"/>
        <v>46190</v>
      </c>
      <c r="C71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W10 (13/6 - 19/6)</v>
      </c>
      <c r="D71" s="3" t="s">
        <v>16</v>
      </c>
      <c r="E71" s="3" t="s">
        <v>17</v>
      </c>
      <c r="F71" s="3">
        <v>4</v>
      </c>
      <c r="G71" s="5">
        <v>32</v>
      </c>
    </row>
    <row r="72" spans="1:7" x14ac:dyDescent="0.25">
      <c r="A72" s="4">
        <v>46191</v>
      </c>
      <c r="B72" s="2">
        <f t="shared" si="2"/>
        <v>46191</v>
      </c>
      <c r="C72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W10 (13/6 - 19/6)</v>
      </c>
      <c r="D72" s="3" t="s">
        <v>16</v>
      </c>
      <c r="E72" s="3" t="s">
        <v>17</v>
      </c>
      <c r="F72" s="3">
        <v>21</v>
      </c>
      <c r="G72" s="5">
        <v>168</v>
      </c>
    </row>
    <row r="73" spans="1:7" x14ac:dyDescent="0.25">
      <c r="A73" s="4">
        <v>46192</v>
      </c>
      <c r="B73" s="2">
        <f t="shared" si="2"/>
        <v>46192</v>
      </c>
      <c r="C73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W10 (13/6 - 19/6)</v>
      </c>
      <c r="D73" s="3" t="s">
        <v>16</v>
      </c>
      <c r="E73" s="3" t="s">
        <v>17</v>
      </c>
      <c r="F73" s="3">
        <v>20</v>
      </c>
      <c r="G73" s="5">
        <v>160</v>
      </c>
    </row>
    <row r="74" spans="1:7" x14ac:dyDescent="0.25">
      <c r="A74" s="4">
        <v>46193</v>
      </c>
      <c r="B74" s="2">
        <f t="shared" si="2"/>
        <v>46193</v>
      </c>
      <c r="C74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W11 (20/6 - 26/6)</v>
      </c>
      <c r="D74" s="3" t="s">
        <v>16</v>
      </c>
      <c r="E74" s="3" t="s">
        <v>17</v>
      </c>
      <c r="F74" s="3">
        <v>20</v>
      </c>
      <c r="G74" s="5">
        <v>160</v>
      </c>
    </row>
    <row r="75" spans="1:7" x14ac:dyDescent="0.25">
      <c r="A75" s="4">
        <v>46194</v>
      </c>
      <c r="B75" s="2">
        <f t="shared" si="2"/>
        <v>46194</v>
      </c>
      <c r="C75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W11 (20/6 - 26/6)</v>
      </c>
      <c r="D75" s="3" t="s">
        <v>16</v>
      </c>
      <c r="E75" s="3" t="s">
        <v>17</v>
      </c>
      <c r="F75" s="3">
        <v>0</v>
      </c>
      <c r="G75" s="5">
        <v>0</v>
      </c>
    </row>
    <row r="76" spans="1:7" x14ac:dyDescent="0.25">
      <c r="A76" s="4">
        <v>46195</v>
      </c>
      <c r="B76" s="2">
        <f t="shared" si="2"/>
        <v>46195</v>
      </c>
      <c r="C76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W11 (20/6 - 26/6)</v>
      </c>
      <c r="D76" s="3" t="s">
        <v>16</v>
      </c>
      <c r="E76" s="3" t="s">
        <v>17</v>
      </c>
      <c r="F76" s="3">
        <v>22</v>
      </c>
      <c r="G76" s="5">
        <v>176</v>
      </c>
    </row>
    <row r="77" spans="1:7" x14ac:dyDescent="0.25">
      <c r="A77" s="4">
        <v>46196</v>
      </c>
      <c r="B77" s="2">
        <f t="shared" si="2"/>
        <v>46196</v>
      </c>
      <c r="C77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W11 (20/6 - 26/6)</v>
      </c>
      <c r="D77" s="3" t="s">
        <v>16</v>
      </c>
      <c r="E77" s="3" t="s">
        <v>17</v>
      </c>
      <c r="F77" s="3">
        <v>22</v>
      </c>
      <c r="G77" s="5">
        <v>176</v>
      </c>
    </row>
    <row r="78" spans="1:7" x14ac:dyDescent="0.25">
      <c r="A78" s="4">
        <v>46197</v>
      </c>
      <c r="B78" s="2">
        <f t="shared" si="2"/>
        <v>46197</v>
      </c>
      <c r="C78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W11 (20/6 - 26/6)</v>
      </c>
      <c r="D78" s="3" t="s">
        <v>16</v>
      </c>
      <c r="E78" s="3" t="s">
        <v>17</v>
      </c>
      <c r="F78" s="3">
        <v>21</v>
      </c>
      <c r="G78" s="5">
        <v>168</v>
      </c>
    </row>
    <row r="79" spans="1:7" x14ac:dyDescent="0.25">
      <c r="A79" s="4">
        <v>46198</v>
      </c>
      <c r="B79" s="2">
        <f t="shared" si="2"/>
        <v>46198</v>
      </c>
      <c r="C79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W11 (20/6 - 26/6)</v>
      </c>
      <c r="D79" s="3" t="s">
        <v>16</v>
      </c>
      <c r="E79" s="3" t="s">
        <v>17</v>
      </c>
      <c r="F79" s="3">
        <v>21</v>
      </c>
      <c r="G79" s="5">
        <v>168</v>
      </c>
    </row>
    <row r="80" spans="1:7" x14ac:dyDescent="0.25">
      <c r="A80" s="4">
        <v>46199</v>
      </c>
      <c r="B80" s="2">
        <f t="shared" si="2"/>
        <v>46199</v>
      </c>
      <c r="C80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W11 (20/6 - 26/6)</v>
      </c>
      <c r="D80" s="3" t="s">
        <v>16</v>
      </c>
      <c r="E80" s="3" t="s">
        <v>17</v>
      </c>
      <c r="F80" s="3">
        <v>22</v>
      </c>
      <c r="G80" s="5">
        <v>176</v>
      </c>
    </row>
    <row r="81" spans="1:7" x14ac:dyDescent="0.25">
      <c r="A81" s="4">
        <v>46200</v>
      </c>
      <c r="B81" s="2">
        <f t="shared" si="2"/>
        <v>46200</v>
      </c>
      <c r="C81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W12 (27/6 - 3/7)</v>
      </c>
      <c r="D81" s="3" t="s">
        <v>16</v>
      </c>
      <c r="E81" s="3" t="s">
        <v>17</v>
      </c>
      <c r="F81" s="3">
        <v>18</v>
      </c>
      <c r="G81" s="5">
        <v>144</v>
      </c>
    </row>
    <row r="82" spans="1:7" x14ac:dyDescent="0.25">
      <c r="A82" s="4">
        <v>46201</v>
      </c>
      <c r="B82" s="2">
        <f t="shared" si="2"/>
        <v>46201</v>
      </c>
      <c r="C82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W12 (27/6 - 3/7)</v>
      </c>
      <c r="D82" s="3" t="s">
        <v>16</v>
      </c>
      <c r="E82" s="3" t="s">
        <v>17</v>
      </c>
      <c r="F82" s="3">
        <v>0</v>
      </c>
      <c r="G82" s="5">
        <v>0</v>
      </c>
    </row>
    <row r="83" spans="1:7" x14ac:dyDescent="0.25">
      <c r="A83" s="4">
        <v>46202</v>
      </c>
      <c r="B83" s="2">
        <f t="shared" si="2"/>
        <v>46202</v>
      </c>
      <c r="C83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W12 (27/6 - 3/7)</v>
      </c>
      <c r="D83" s="3" t="s">
        <v>16</v>
      </c>
      <c r="E83" s="3" t="s">
        <v>17</v>
      </c>
      <c r="F83" s="3">
        <v>23</v>
      </c>
      <c r="G83" s="5">
        <v>184</v>
      </c>
    </row>
    <row r="84" spans="1:7" x14ac:dyDescent="0.25">
      <c r="A84" s="4">
        <v>46203</v>
      </c>
      <c r="B84" s="2">
        <f t="shared" si="2"/>
        <v>46203</v>
      </c>
      <c r="C84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W12 (27/6 - 3/7)</v>
      </c>
      <c r="D84" s="3" t="s">
        <v>16</v>
      </c>
      <c r="E84" s="3" t="s">
        <v>17</v>
      </c>
      <c r="F84" s="3">
        <v>23</v>
      </c>
      <c r="G84" s="5">
        <v>184</v>
      </c>
    </row>
    <row r="85" spans="1:7" x14ac:dyDescent="0.25">
      <c r="A85" s="4">
        <v>46204</v>
      </c>
      <c r="B85" s="2">
        <f t="shared" si="2"/>
        <v>46204</v>
      </c>
      <c r="C85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W12 (27/6 - 3/7)</v>
      </c>
      <c r="D85" s="3" t="s">
        <v>16</v>
      </c>
      <c r="E85" s="3" t="s">
        <v>17</v>
      </c>
      <c r="F85" s="3">
        <v>27</v>
      </c>
      <c r="G85" s="5">
        <v>216</v>
      </c>
    </row>
    <row r="86" spans="1:7" x14ac:dyDescent="0.25">
      <c r="A86" s="4">
        <v>46205</v>
      </c>
      <c r="B86" s="2">
        <f t="shared" si="2"/>
        <v>46205</v>
      </c>
      <c r="C86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W12 (27/6 - 3/7)</v>
      </c>
      <c r="D86" s="3" t="s">
        <v>16</v>
      </c>
      <c r="E86" s="3" t="s">
        <v>17</v>
      </c>
      <c r="F86" s="3">
        <v>28</v>
      </c>
      <c r="G86" s="5">
        <v>224</v>
      </c>
    </row>
    <row r="87" spans="1:7" x14ac:dyDescent="0.25">
      <c r="A87" s="4">
        <v>46206</v>
      </c>
      <c r="B87" s="2">
        <f t="shared" si="2"/>
        <v>46206</v>
      </c>
      <c r="C87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W12 (27/6 - 3/7)</v>
      </c>
      <c r="D87" s="3" t="s">
        <v>16</v>
      </c>
      <c r="E87" s="3" t="s">
        <v>17</v>
      </c>
      <c r="F87" s="3">
        <v>27</v>
      </c>
      <c r="G87" s="5">
        <v>216</v>
      </c>
    </row>
    <row r="88" spans="1:7" x14ac:dyDescent="0.25">
      <c r="A88" s="4">
        <v>46207</v>
      </c>
      <c r="B88" s="2">
        <f t="shared" si="2"/>
        <v>46207</v>
      </c>
      <c r="C88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W13 (4/7 - 10/7)</v>
      </c>
      <c r="D88" s="3" t="s">
        <v>16</v>
      </c>
      <c r="E88" s="3" t="s">
        <v>17</v>
      </c>
      <c r="F88" s="3">
        <v>22</v>
      </c>
      <c r="G88" s="5">
        <v>176</v>
      </c>
    </row>
    <row r="89" spans="1:7" x14ac:dyDescent="0.25">
      <c r="A89" s="4">
        <v>46208</v>
      </c>
      <c r="B89" s="2">
        <f t="shared" si="2"/>
        <v>46208</v>
      </c>
      <c r="C89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W13 (4/7 - 10/7)</v>
      </c>
      <c r="D89" s="3" t="s">
        <v>16</v>
      </c>
      <c r="E89" s="3" t="s">
        <v>17</v>
      </c>
      <c r="F89" s="3">
        <v>0</v>
      </c>
      <c r="G89" s="5">
        <v>0</v>
      </c>
    </row>
    <row r="90" spans="1:7" x14ac:dyDescent="0.25">
      <c r="A90" s="4">
        <v>46209</v>
      </c>
      <c r="B90" s="2">
        <f t="shared" si="2"/>
        <v>46209</v>
      </c>
      <c r="C90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W13 (4/7 - 10/7)</v>
      </c>
      <c r="D90" s="3" t="s">
        <v>16</v>
      </c>
      <c r="E90" s="3" t="s">
        <v>17</v>
      </c>
      <c r="F90" s="3">
        <v>25</v>
      </c>
      <c r="G90" s="5">
        <v>200</v>
      </c>
    </row>
    <row r="91" spans="1:7" x14ac:dyDescent="0.25">
      <c r="A91" s="4">
        <v>46210</v>
      </c>
      <c r="B91" s="2">
        <f t="shared" si="2"/>
        <v>46210</v>
      </c>
      <c r="C91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W13 (4/7 - 10/7)</v>
      </c>
      <c r="D91" s="3" t="s">
        <v>16</v>
      </c>
      <c r="E91" s="3" t="s">
        <v>17</v>
      </c>
      <c r="F91" s="3">
        <v>26</v>
      </c>
      <c r="G91" s="5">
        <v>208</v>
      </c>
    </row>
    <row r="92" spans="1:7" x14ac:dyDescent="0.25">
      <c r="A92" s="4">
        <v>46211</v>
      </c>
      <c r="B92" s="2">
        <f t="shared" si="2"/>
        <v>46211</v>
      </c>
      <c r="C92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W13 (4/7 - 10/7)</v>
      </c>
      <c r="D92" s="3" t="s">
        <v>16</v>
      </c>
      <c r="E92" s="3" t="s">
        <v>17</v>
      </c>
      <c r="F92" s="3">
        <v>26</v>
      </c>
      <c r="G92" s="5">
        <v>208</v>
      </c>
    </row>
    <row r="93" spans="1:7" x14ac:dyDescent="0.25">
      <c r="A93" s="4">
        <v>46212</v>
      </c>
      <c r="B93" s="2">
        <f t="shared" si="2"/>
        <v>46212</v>
      </c>
      <c r="C93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W13 (4/7 - 10/7)</v>
      </c>
      <c r="D93" s="3" t="s">
        <v>16</v>
      </c>
      <c r="E93" s="3" t="s">
        <v>17</v>
      </c>
      <c r="F93" s="3">
        <v>27</v>
      </c>
      <c r="G93" s="5">
        <v>216</v>
      </c>
    </row>
    <row r="94" spans="1:7" x14ac:dyDescent="0.25">
      <c r="A94" s="4">
        <v>46213</v>
      </c>
      <c r="B94" s="2">
        <f t="shared" si="2"/>
        <v>46213</v>
      </c>
      <c r="C94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W13 (4/7 - 10/7)</v>
      </c>
      <c r="D94" s="3" t="s">
        <v>16</v>
      </c>
      <c r="E94" s="3" t="s">
        <v>17</v>
      </c>
      <c r="F94" s="3">
        <v>25</v>
      </c>
      <c r="G94" s="5">
        <v>200</v>
      </c>
    </row>
    <row r="95" spans="1:7" x14ac:dyDescent="0.25">
      <c r="A95" s="4">
        <v>46214</v>
      </c>
      <c r="B95" s="2">
        <f t="shared" si="2"/>
        <v>46214</v>
      </c>
      <c r="C95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W14 (11/7 - 17/7)</v>
      </c>
      <c r="D95" s="3" t="s">
        <v>16</v>
      </c>
      <c r="E95" s="3" t="s">
        <v>17</v>
      </c>
      <c r="F95" s="3">
        <v>14</v>
      </c>
      <c r="G95" s="5">
        <v>112</v>
      </c>
    </row>
    <row r="96" spans="1:7" x14ac:dyDescent="0.25">
      <c r="A96" s="4">
        <v>46215</v>
      </c>
      <c r="B96" s="2">
        <f t="shared" si="2"/>
        <v>46215</v>
      </c>
      <c r="C96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W14 (11/7 - 17/7)</v>
      </c>
      <c r="D96" s="3" t="s">
        <v>16</v>
      </c>
      <c r="E96" s="3" t="s">
        <v>17</v>
      </c>
      <c r="F96" s="3">
        <v>0</v>
      </c>
      <c r="G96" s="5">
        <v>0</v>
      </c>
    </row>
    <row r="97" spans="1:7" x14ac:dyDescent="0.25">
      <c r="A97" s="4">
        <v>46216</v>
      </c>
      <c r="B97" s="2">
        <f t="shared" si="2"/>
        <v>46216</v>
      </c>
      <c r="C97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W14 (11/7 - 17/7)</v>
      </c>
      <c r="D97" s="3" t="s">
        <v>16</v>
      </c>
      <c r="E97" s="3" t="s">
        <v>17</v>
      </c>
      <c r="F97" s="3">
        <v>19</v>
      </c>
      <c r="G97" s="5">
        <v>152</v>
      </c>
    </row>
    <row r="98" spans="1:7" x14ac:dyDescent="0.25">
      <c r="A98" s="4">
        <v>46217</v>
      </c>
      <c r="B98" s="2">
        <f t="shared" si="2"/>
        <v>46217</v>
      </c>
      <c r="C98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W14 (11/7 - 17/7)</v>
      </c>
      <c r="D98" s="3" t="s">
        <v>16</v>
      </c>
      <c r="E98" s="3" t="s">
        <v>17</v>
      </c>
      <c r="F98" s="3">
        <v>25</v>
      </c>
      <c r="G98" s="5">
        <v>200</v>
      </c>
    </row>
    <row r="99" spans="1:7" x14ac:dyDescent="0.25">
      <c r="A99" s="4">
        <v>46218</v>
      </c>
      <c r="B99" s="2">
        <f t="shared" si="2"/>
        <v>46218</v>
      </c>
      <c r="C99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W14 (11/7 - 17/7)</v>
      </c>
      <c r="D99" s="3" t="s">
        <v>16</v>
      </c>
      <c r="E99" s="3" t="s">
        <v>17</v>
      </c>
      <c r="F99" s="3">
        <v>25</v>
      </c>
      <c r="G99" s="5">
        <v>200</v>
      </c>
    </row>
    <row r="100" spans="1:7" x14ac:dyDescent="0.25">
      <c r="A100" s="4">
        <v>46219</v>
      </c>
      <c r="B100" s="2">
        <f t="shared" si="2"/>
        <v>46219</v>
      </c>
      <c r="C100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W14 (11/7 - 17/7)</v>
      </c>
      <c r="D100" s="3" t="s">
        <v>16</v>
      </c>
      <c r="E100" s="3" t="s">
        <v>17</v>
      </c>
      <c r="F100" s="3">
        <v>24</v>
      </c>
      <c r="G100" s="5">
        <v>192</v>
      </c>
    </row>
    <row r="101" spans="1:7" x14ac:dyDescent="0.25">
      <c r="A101" s="4">
        <v>46220</v>
      </c>
      <c r="B101" s="2">
        <f t="shared" si="2"/>
        <v>46220</v>
      </c>
      <c r="C101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W14 (11/7 - 17/7)</v>
      </c>
      <c r="D101" s="3" t="s">
        <v>16</v>
      </c>
      <c r="E101" s="3" t="s">
        <v>17</v>
      </c>
      <c r="F101" s="3">
        <v>25</v>
      </c>
      <c r="G101" s="5">
        <v>200</v>
      </c>
    </row>
    <row r="102" spans="1:7" x14ac:dyDescent="0.25">
      <c r="A102" s="4">
        <v>46221</v>
      </c>
      <c r="B102" s="2">
        <f t="shared" ref="B102:B133" si="3">A102</f>
        <v>46221</v>
      </c>
      <c r="C102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W15 (18/7 - 24/7)</v>
      </c>
      <c r="D102" s="3" t="s">
        <v>16</v>
      </c>
      <c r="E102" s="3" t="s">
        <v>17</v>
      </c>
      <c r="F102" s="3">
        <v>18</v>
      </c>
      <c r="G102" s="5">
        <v>144</v>
      </c>
    </row>
    <row r="103" spans="1:7" x14ac:dyDescent="0.25">
      <c r="A103" s="4">
        <v>46222</v>
      </c>
      <c r="B103" s="2">
        <f t="shared" si="3"/>
        <v>46222</v>
      </c>
      <c r="C103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W15 (18/7 - 24/7)</v>
      </c>
      <c r="D103" s="3" t="s">
        <v>16</v>
      </c>
      <c r="E103" s="3" t="s">
        <v>17</v>
      </c>
      <c r="F103" s="3">
        <v>1</v>
      </c>
      <c r="G103" s="5">
        <v>8</v>
      </c>
    </row>
    <row r="104" spans="1:7" x14ac:dyDescent="0.25">
      <c r="A104" s="4">
        <v>46223</v>
      </c>
      <c r="B104" s="2">
        <f t="shared" si="3"/>
        <v>46223</v>
      </c>
      <c r="C104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W15 (18/7 - 24/7)</v>
      </c>
      <c r="D104" s="3" t="s">
        <v>16</v>
      </c>
      <c r="E104" s="3" t="s">
        <v>17</v>
      </c>
      <c r="F104" s="3">
        <v>24</v>
      </c>
      <c r="G104" s="5">
        <v>192</v>
      </c>
    </row>
    <row r="105" spans="1:7" x14ac:dyDescent="0.25">
      <c r="A105" s="4">
        <v>46224</v>
      </c>
      <c r="B105" s="2">
        <f t="shared" si="3"/>
        <v>46224</v>
      </c>
      <c r="C105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W15 (18/7 - 24/7)</v>
      </c>
      <c r="D105" s="3" t="s">
        <v>16</v>
      </c>
      <c r="E105" s="3" t="s">
        <v>17</v>
      </c>
      <c r="F105" s="3">
        <v>17</v>
      </c>
      <c r="G105" s="5">
        <v>136</v>
      </c>
    </row>
    <row r="106" spans="1:7" x14ac:dyDescent="0.25">
      <c r="A106" s="4">
        <v>46225</v>
      </c>
      <c r="B106" s="2">
        <f t="shared" si="3"/>
        <v>46225</v>
      </c>
      <c r="C106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W15 (18/7 - 24/7)</v>
      </c>
      <c r="D106" s="3" t="s">
        <v>16</v>
      </c>
      <c r="E106" s="3" t="s">
        <v>17</v>
      </c>
      <c r="F106" s="3">
        <v>26</v>
      </c>
      <c r="G106" s="5">
        <v>208</v>
      </c>
    </row>
    <row r="107" spans="1:7" x14ac:dyDescent="0.25">
      <c r="A107" s="4">
        <v>46226</v>
      </c>
      <c r="B107" s="2">
        <f t="shared" si="3"/>
        <v>46226</v>
      </c>
      <c r="C107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W15 (18/7 - 24/7)</v>
      </c>
      <c r="D107" s="3" t="s">
        <v>16</v>
      </c>
      <c r="E107" s="3" t="s">
        <v>17</v>
      </c>
      <c r="F107" s="3">
        <v>26</v>
      </c>
      <c r="G107" s="5">
        <v>208</v>
      </c>
    </row>
    <row r="108" spans="1:7" x14ac:dyDescent="0.25">
      <c r="A108" s="4">
        <v>46227</v>
      </c>
      <c r="B108" s="2">
        <f t="shared" si="3"/>
        <v>46227</v>
      </c>
      <c r="C108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W15 (18/7 - 24/7)</v>
      </c>
      <c r="D108" s="3" t="s">
        <v>16</v>
      </c>
      <c r="E108" s="3" t="s">
        <v>17</v>
      </c>
      <c r="F108" s="3">
        <v>26</v>
      </c>
      <c r="G108" s="5">
        <v>208</v>
      </c>
    </row>
    <row r="109" spans="1:7" x14ac:dyDescent="0.25">
      <c r="A109" s="4">
        <v>46228</v>
      </c>
      <c r="B109" s="2">
        <f t="shared" si="3"/>
        <v>46228</v>
      </c>
      <c r="C109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W16 (25/7 - 31/7)</v>
      </c>
      <c r="D109" s="3" t="s">
        <v>16</v>
      </c>
      <c r="E109" s="3" t="s">
        <v>17</v>
      </c>
      <c r="F109" s="3">
        <v>21</v>
      </c>
      <c r="G109" s="5">
        <v>168</v>
      </c>
    </row>
    <row r="110" spans="1:7" x14ac:dyDescent="0.25">
      <c r="A110" s="4">
        <v>46229</v>
      </c>
      <c r="B110" s="2">
        <f t="shared" si="3"/>
        <v>46229</v>
      </c>
      <c r="C110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W16 (25/7 - 31/7)</v>
      </c>
      <c r="D110" s="3" t="s">
        <v>16</v>
      </c>
      <c r="E110" s="3" t="s">
        <v>17</v>
      </c>
      <c r="F110" s="3">
        <v>1</v>
      </c>
      <c r="G110" s="5">
        <v>8</v>
      </c>
    </row>
    <row r="111" spans="1:7" x14ac:dyDescent="0.25">
      <c r="A111" s="4">
        <v>46230</v>
      </c>
      <c r="B111" s="2">
        <f t="shared" si="3"/>
        <v>46230</v>
      </c>
      <c r="C111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W16 (25/7 - 31/7)</v>
      </c>
      <c r="D111" s="3" t="s">
        <v>16</v>
      </c>
      <c r="E111" s="3" t="s">
        <v>17</v>
      </c>
      <c r="F111" s="3">
        <v>25</v>
      </c>
      <c r="G111" s="5">
        <v>200</v>
      </c>
    </row>
    <row r="112" spans="1:7" x14ac:dyDescent="0.25">
      <c r="A112" s="4">
        <v>46231</v>
      </c>
      <c r="B112" s="2">
        <f t="shared" si="3"/>
        <v>46231</v>
      </c>
      <c r="C112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W16 (25/7 - 31/7)</v>
      </c>
      <c r="D112" s="3" t="s">
        <v>16</v>
      </c>
      <c r="E112" s="3" t="s">
        <v>17</v>
      </c>
      <c r="F112" s="3">
        <v>25</v>
      </c>
      <c r="G112" s="5">
        <v>200</v>
      </c>
    </row>
    <row r="113" spans="1:7" x14ac:dyDescent="0.25">
      <c r="A113" s="4">
        <v>46232</v>
      </c>
      <c r="B113" s="2">
        <f t="shared" si="3"/>
        <v>46232</v>
      </c>
      <c r="C113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W16 (25/7 - 31/7)</v>
      </c>
      <c r="D113" s="3" t="s">
        <v>16</v>
      </c>
      <c r="E113" s="3" t="s">
        <v>17</v>
      </c>
      <c r="F113" s="3">
        <v>27</v>
      </c>
      <c r="G113" s="5">
        <v>216</v>
      </c>
    </row>
    <row r="114" spans="1:7" x14ac:dyDescent="0.25">
      <c r="A114" s="4">
        <v>46233</v>
      </c>
      <c r="B114" s="2">
        <f t="shared" si="3"/>
        <v>46233</v>
      </c>
      <c r="C114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W16 (25/7 - 31/7)</v>
      </c>
      <c r="D114" s="3" t="s">
        <v>16</v>
      </c>
      <c r="E114" s="3" t="s">
        <v>17</v>
      </c>
      <c r="F114" s="3">
        <v>28</v>
      </c>
      <c r="G114" s="5">
        <v>224</v>
      </c>
    </row>
    <row r="115" spans="1:7" x14ac:dyDescent="0.25">
      <c r="A115" s="9">
        <v>46234</v>
      </c>
      <c r="B115" s="10">
        <f t="shared" si="3"/>
        <v>46234</v>
      </c>
      <c r="C115" s="11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W16 (25/7 - 31/7)</v>
      </c>
      <c r="D115" s="3" t="s">
        <v>16</v>
      </c>
      <c r="E115" s="11" t="s">
        <v>17</v>
      </c>
      <c r="F115" s="11">
        <v>26</v>
      </c>
      <c r="G115" s="12">
        <v>208</v>
      </c>
    </row>
    <row r="116" spans="1:7" x14ac:dyDescent="0.25">
      <c r="A116" s="4">
        <v>46235</v>
      </c>
      <c r="B116" s="2">
        <f t="shared" si="3"/>
        <v>46235</v>
      </c>
      <c r="C116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W17 (1/8 - 7/8)</v>
      </c>
      <c r="D116" s="3" t="s">
        <v>16</v>
      </c>
      <c r="E116" s="11" t="s">
        <v>17</v>
      </c>
      <c r="F116" s="3">
        <v>23</v>
      </c>
      <c r="G116" s="5">
        <v>184</v>
      </c>
    </row>
    <row r="117" spans="1:7" x14ac:dyDescent="0.25">
      <c r="A117" s="4">
        <v>46236</v>
      </c>
      <c r="B117" s="2">
        <f t="shared" si="3"/>
        <v>46236</v>
      </c>
      <c r="C117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W17 (1/8 - 7/8)</v>
      </c>
      <c r="D117" s="3" t="s">
        <v>16</v>
      </c>
      <c r="E117" s="11" t="s">
        <v>17</v>
      </c>
      <c r="F117" s="3">
        <v>1</v>
      </c>
      <c r="G117" s="5">
        <v>8</v>
      </c>
    </row>
    <row r="118" spans="1:7" x14ac:dyDescent="0.25">
      <c r="A118" s="4">
        <v>46237</v>
      </c>
      <c r="B118" s="10">
        <f t="shared" si="3"/>
        <v>46237</v>
      </c>
      <c r="C118" s="11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W17 (1/8 - 7/8)</v>
      </c>
      <c r="D118" s="3" t="s">
        <v>16</v>
      </c>
      <c r="E118" s="11" t="s">
        <v>17</v>
      </c>
      <c r="F118" s="11">
        <v>29</v>
      </c>
      <c r="G118" s="12">
        <v>232</v>
      </c>
    </row>
    <row r="119" spans="1:7" x14ac:dyDescent="0.25">
      <c r="A119" s="4">
        <v>46238</v>
      </c>
      <c r="B119" s="2">
        <f t="shared" si="3"/>
        <v>46238</v>
      </c>
      <c r="C119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W17 (1/8 - 7/8)</v>
      </c>
      <c r="D119" s="3" t="s">
        <v>16</v>
      </c>
      <c r="E119" s="11" t="s">
        <v>17</v>
      </c>
      <c r="F119" s="3">
        <v>30</v>
      </c>
      <c r="G119" s="5">
        <v>240</v>
      </c>
    </row>
    <row r="120" spans="1:7" x14ac:dyDescent="0.25">
      <c r="A120" s="4">
        <v>46239</v>
      </c>
      <c r="B120" s="2">
        <f t="shared" si="3"/>
        <v>46239</v>
      </c>
      <c r="C120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W17 (1/8 - 7/8)</v>
      </c>
      <c r="D120" s="3" t="s">
        <v>16</v>
      </c>
      <c r="E120" s="11" t="s">
        <v>17</v>
      </c>
      <c r="F120" s="3">
        <v>31</v>
      </c>
      <c r="G120" s="5">
        <v>248</v>
      </c>
    </row>
    <row r="121" spans="1:7" x14ac:dyDescent="0.25">
      <c r="A121" s="9">
        <v>46240</v>
      </c>
      <c r="B121" s="2">
        <f t="shared" si="3"/>
        <v>46240</v>
      </c>
      <c r="C121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W17 (1/8 - 7/8)</v>
      </c>
      <c r="D121" s="3" t="s">
        <v>16</v>
      </c>
      <c r="E121" s="11" t="s">
        <v>17</v>
      </c>
      <c r="F121" s="3">
        <v>32</v>
      </c>
      <c r="G121" s="5">
        <v>256</v>
      </c>
    </row>
    <row r="122" spans="1:7" x14ac:dyDescent="0.25">
      <c r="A122" s="4">
        <v>46241</v>
      </c>
      <c r="B122" s="2">
        <f t="shared" si="3"/>
        <v>46241</v>
      </c>
      <c r="C122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W17 (1/8 - 7/8)</v>
      </c>
      <c r="D122" s="3" t="s">
        <v>16</v>
      </c>
      <c r="E122" s="11" t="s">
        <v>17</v>
      </c>
      <c r="F122" s="3">
        <v>34</v>
      </c>
      <c r="G122" s="5">
        <v>272</v>
      </c>
    </row>
    <row r="123" spans="1:7" x14ac:dyDescent="0.25">
      <c r="A123" s="4">
        <v>46242</v>
      </c>
      <c r="B123" s="2">
        <f t="shared" si="3"/>
        <v>46242</v>
      </c>
      <c r="C123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W18 (8/8 - 14/8)</v>
      </c>
      <c r="D123" s="3" t="s">
        <v>16</v>
      </c>
      <c r="E123" s="11" t="s">
        <v>17</v>
      </c>
      <c r="F123" s="3">
        <v>32</v>
      </c>
      <c r="G123" s="5">
        <v>256</v>
      </c>
    </row>
    <row r="124" spans="1:7" x14ac:dyDescent="0.25">
      <c r="A124" s="4">
        <v>46243</v>
      </c>
      <c r="B124" s="10">
        <f t="shared" si="3"/>
        <v>46243</v>
      </c>
      <c r="C124" s="11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W18 (8/8 - 14/8)</v>
      </c>
      <c r="D124" s="3" t="s">
        <v>16</v>
      </c>
      <c r="E124" s="11" t="s">
        <v>17</v>
      </c>
      <c r="F124" s="11">
        <v>2</v>
      </c>
      <c r="G124" s="12">
        <v>16</v>
      </c>
    </row>
    <row r="125" spans="1:7" x14ac:dyDescent="0.25">
      <c r="A125" s="4">
        <v>46244</v>
      </c>
      <c r="B125" s="2">
        <f t="shared" si="3"/>
        <v>46244</v>
      </c>
      <c r="C125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W18 (8/8 - 14/8)</v>
      </c>
      <c r="D125" s="3" t="s">
        <v>16</v>
      </c>
      <c r="E125" s="11" t="s">
        <v>17</v>
      </c>
      <c r="F125" s="3">
        <v>34</v>
      </c>
      <c r="G125" s="5">
        <v>272</v>
      </c>
    </row>
    <row r="126" spans="1:7" x14ac:dyDescent="0.25">
      <c r="A126" s="4">
        <v>46245</v>
      </c>
      <c r="B126" s="2">
        <f t="shared" si="3"/>
        <v>46245</v>
      </c>
      <c r="C126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W18 (8/8 - 14/8)</v>
      </c>
      <c r="D126" s="3" t="s">
        <v>16</v>
      </c>
      <c r="E126" s="11" t="s">
        <v>17</v>
      </c>
      <c r="F126" s="3">
        <v>34</v>
      </c>
      <c r="G126" s="5">
        <v>272</v>
      </c>
    </row>
    <row r="127" spans="1:7" x14ac:dyDescent="0.25">
      <c r="A127" s="4">
        <v>46246</v>
      </c>
      <c r="B127" s="2">
        <f t="shared" si="3"/>
        <v>46246</v>
      </c>
      <c r="C127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W18 (8/8 - 14/8)</v>
      </c>
      <c r="D127" s="3" t="s">
        <v>16</v>
      </c>
      <c r="E127" s="11" t="s">
        <v>17</v>
      </c>
      <c r="F127" s="3">
        <v>34</v>
      </c>
      <c r="G127" s="5">
        <v>272</v>
      </c>
    </row>
    <row r="128" spans="1:7" x14ac:dyDescent="0.25">
      <c r="A128" s="4">
        <v>46247</v>
      </c>
      <c r="B128" s="2">
        <f t="shared" si="3"/>
        <v>46247</v>
      </c>
      <c r="C128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W18 (8/8 - 14/8)</v>
      </c>
      <c r="D128" s="3" t="s">
        <v>16</v>
      </c>
      <c r="E128" s="11" t="s">
        <v>17</v>
      </c>
      <c r="F128" s="3">
        <v>34</v>
      </c>
      <c r="G128" s="5">
        <v>272</v>
      </c>
    </row>
    <row r="129" spans="1:7" x14ac:dyDescent="0.25">
      <c r="A129" s="4">
        <v>46248</v>
      </c>
      <c r="B129" s="2">
        <f t="shared" si="3"/>
        <v>46248</v>
      </c>
      <c r="C129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W18 (8/8 - 14/8)</v>
      </c>
      <c r="D129" s="3" t="s">
        <v>16</v>
      </c>
      <c r="E129" s="11" t="s">
        <v>17</v>
      </c>
      <c r="F129" s="3">
        <v>33</v>
      </c>
      <c r="G129" s="5">
        <v>264</v>
      </c>
    </row>
    <row r="130" spans="1:7" x14ac:dyDescent="0.25">
      <c r="A130" s="4">
        <v>46249</v>
      </c>
      <c r="B130" s="2">
        <f t="shared" si="3"/>
        <v>46249</v>
      </c>
      <c r="C130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W19 (15/8 - 21/8)</v>
      </c>
      <c r="D130" s="3" t="s">
        <v>16</v>
      </c>
      <c r="E130" s="11" t="s">
        <v>17</v>
      </c>
      <c r="F130" s="3">
        <v>24</v>
      </c>
      <c r="G130" s="5">
        <v>192</v>
      </c>
    </row>
    <row r="131" spans="1:7" x14ac:dyDescent="0.25">
      <c r="A131" s="4">
        <v>46250</v>
      </c>
      <c r="B131" s="2">
        <f t="shared" si="3"/>
        <v>46250</v>
      </c>
      <c r="C131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W19 (15/8 - 21/8)</v>
      </c>
      <c r="D131" s="3" t="s">
        <v>16</v>
      </c>
      <c r="E131" s="11" t="s">
        <v>17</v>
      </c>
      <c r="F131" s="3">
        <v>2</v>
      </c>
      <c r="G131" s="5">
        <v>16</v>
      </c>
    </row>
    <row r="132" spans="1:7" x14ac:dyDescent="0.25">
      <c r="A132" s="4">
        <v>46251</v>
      </c>
      <c r="B132" s="2">
        <f t="shared" si="3"/>
        <v>46251</v>
      </c>
      <c r="C132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W19 (15/8 - 21/8)</v>
      </c>
      <c r="D132" s="3" t="s">
        <v>16</v>
      </c>
      <c r="E132" s="11" t="s">
        <v>17</v>
      </c>
      <c r="F132" s="3">
        <v>34</v>
      </c>
      <c r="G132" s="5">
        <v>272</v>
      </c>
    </row>
    <row r="133" spans="1:7" x14ac:dyDescent="0.25">
      <c r="A133" s="4">
        <v>46252</v>
      </c>
      <c r="B133" s="2">
        <f t="shared" si="3"/>
        <v>46252</v>
      </c>
      <c r="C133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W19 (15/8 - 21/8)</v>
      </c>
      <c r="D133" s="3" t="s">
        <v>16</v>
      </c>
      <c r="E133" s="11" t="s">
        <v>17</v>
      </c>
      <c r="F133" s="3">
        <v>36</v>
      </c>
      <c r="G133" s="5">
        <v>288</v>
      </c>
    </row>
    <row r="134" spans="1:7" x14ac:dyDescent="0.25">
      <c r="A134" s="4">
        <v>46253</v>
      </c>
      <c r="B134" s="2">
        <f t="shared" ref="B134:B165" si="4">A134</f>
        <v>46253</v>
      </c>
      <c r="C134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W19 (15/8 - 21/8)</v>
      </c>
      <c r="D134" s="3" t="s">
        <v>16</v>
      </c>
      <c r="E134" s="11" t="s">
        <v>17</v>
      </c>
      <c r="F134" s="3">
        <v>36</v>
      </c>
      <c r="G134" s="5">
        <v>288</v>
      </c>
    </row>
    <row r="135" spans="1:7" x14ac:dyDescent="0.25">
      <c r="A135" s="4">
        <v>46254</v>
      </c>
      <c r="B135" s="2">
        <f t="shared" si="4"/>
        <v>46254</v>
      </c>
      <c r="C135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W19 (15/8 - 21/8)</v>
      </c>
      <c r="D135" s="3" t="s">
        <v>16</v>
      </c>
      <c r="E135" s="11" t="s">
        <v>17</v>
      </c>
      <c r="F135" s="3">
        <v>36</v>
      </c>
      <c r="G135" s="5">
        <v>288</v>
      </c>
    </row>
    <row r="136" spans="1:7" x14ac:dyDescent="0.25">
      <c r="A136" s="4">
        <v>46255</v>
      </c>
      <c r="B136" s="2">
        <f t="shared" si="4"/>
        <v>46255</v>
      </c>
      <c r="C136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W19 (15/8 - 21/8)</v>
      </c>
      <c r="D136" s="3" t="s">
        <v>16</v>
      </c>
      <c r="E136" s="11" t="s">
        <v>17</v>
      </c>
      <c r="F136" s="3">
        <v>35</v>
      </c>
      <c r="G136" s="5">
        <v>280</v>
      </c>
    </row>
    <row r="137" spans="1:7" x14ac:dyDescent="0.25">
      <c r="A137" s="4">
        <v>46256</v>
      </c>
      <c r="B137" s="2">
        <f t="shared" si="4"/>
        <v>46256</v>
      </c>
      <c r="C137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W20 (22/8 - 28/8)</v>
      </c>
      <c r="D137" s="3" t="s">
        <v>16</v>
      </c>
      <c r="E137" s="11" t="s">
        <v>17</v>
      </c>
      <c r="F137" s="3">
        <v>28</v>
      </c>
      <c r="G137" s="5">
        <v>224</v>
      </c>
    </row>
    <row r="138" spans="1:7" x14ac:dyDescent="0.25">
      <c r="A138" s="4">
        <v>46257</v>
      </c>
      <c r="B138" s="2">
        <f t="shared" si="4"/>
        <v>46257</v>
      </c>
      <c r="C138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W20 (22/8 - 28/8)</v>
      </c>
      <c r="D138" s="3" t="s">
        <v>16</v>
      </c>
      <c r="E138" s="11" t="s">
        <v>17</v>
      </c>
      <c r="F138" s="3">
        <v>1</v>
      </c>
      <c r="G138" s="5">
        <v>8</v>
      </c>
    </row>
    <row r="139" spans="1:7" x14ac:dyDescent="0.25">
      <c r="A139" s="4">
        <v>46258</v>
      </c>
      <c r="B139" s="2">
        <f t="shared" si="4"/>
        <v>46258</v>
      </c>
      <c r="C139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W20 (22/8 - 28/8)</v>
      </c>
      <c r="D139" s="3" t="s">
        <v>16</v>
      </c>
      <c r="E139" s="11" t="s">
        <v>17</v>
      </c>
      <c r="F139" s="3">
        <v>28</v>
      </c>
      <c r="G139" s="5">
        <v>224</v>
      </c>
    </row>
    <row r="140" spans="1:7" x14ac:dyDescent="0.25">
      <c r="A140" s="4">
        <v>46259</v>
      </c>
      <c r="B140" s="10">
        <f t="shared" si="4"/>
        <v>46259</v>
      </c>
      <c r="C140" s="11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W20 (22/8 - 28/8)</v>
      </c>
      <c r="D140" s="3" t="s">
        <v>16</v>
      </c>
      <c r="E140" s="11" t="s">
        <v>17</v>
      </c>
      <c r="F140" s="11">
        <v>10</v>
      </c>
      <c r="G140" s="12">
        <v>80</v>
      </c>
    </row>
    <row r="141" spans="1:7" x14ac:dyDescent="0.25">
      <c r="A141" s="4">
        <v>46260</v>
      </c>
      <c r="B141" s="2">
        <f t="shared" si="4"/>
        <v>46260</v>
      </c>
      <c r="C141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W20 (22/8 - 28/8)</v>
      </c>
      <c r="D141" s="3" t="s">
        <v>16</v>
      </c>
      <c r="E141" s="11" t="s">
        <v>17</v>
      </c>
      <c r="F141" s="3">
        <v>34</v>
      </c>
      <c r="G141" s="5">
        <v>272</v>
      </c>
    </row>
    <row r="142" spans="1:7" x14ac:dyDescent="0.25">
      <c r="A142" s="4">
        <v>46261</v>
      </c>
      <c r="B142" s="2">
        <f t="shared" si="4"/>
        <v>46261</v>
      </c>
      <c r="C142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W20 (22/8 - 28/8)</v>
      </c>
      <c r="D142" s="3" t="s">
        <v>16</v>
      </c>
      <c r="E142" s="11" t="s">
        <v>17</v>
      </c>
      <c r="F142" s="3">
        <v>36</v>
      </c>
      <c r="G142" s="5">
        <v>288</v>
      </c>
    </row>
    <row r="143" spans="1:7" x14ac:dyDescent="0.25">
      <c r="A143" s="4">
        <v>46262</v>
      </c>
      <c r="B143" s="2">
        <f t="shared" si="4"/>
        <v>46262</v>
      </c>
      <c r="C143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W20 (22/8 - 28/8)</v>
      </c>
      <c r="D143" s="3" t="s">
        <v>16</v>
      </c>
      <c r="E143" s="11" t="s">
        <v>17</v>
      </c>
      <c r="F143" s="3">
        <v>34</v>
      </c>
      <c r="G143" s="5">
        <v>272</v>
      </c>
    </row>
    <row r="144" spans="1:7" x14ac:dyDescent="0.25">
      <c r="A144" s="4">
        <v>46263</v>
      </c>
      <c r="B144" s="2">
        <f t="shared" si="4"/>
        <v>46263</v>
      </c>
      <c r="C144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W21 (29/8 - 4/9)</v>
      </c>
      <c r="D144" s="3" t="s">
        <v>16</v>
      </c>
      <c r="E144" s="11" t="s">
        <v>17</v>
      </c>
      <c r="F144" s="3">
        <v>26</v>
      </c>
      <c r="G144" s="5">
        <v>208</v>
      </c>
    </row>
    <row r="145" spans="1:7" x14ac:dyDescent="0.25">
      <c r="A145" s="4">
        <v>46264</v>
      </c>
      <c r="B145" s="10">
        <f t="shared" si="4"/>
        <v>46264</v>
      </c>
      <c r="C145" s="11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W21 (29/8 - 4/9)</v>
      </c>
      <c r="D145" s="3" t="s">
        <v>16</v>
      </c>
      <c r="E145" s="11" t="s">
        <v>17</v>
      </c>
      <c r="F145" s="11">
        <v>2</v>
      </c>
      <c r="G145" s="12">
        <v>16</v>
      </c>
    </row>
    <row r="146" spans="1:7" x14ac:dyDescent="0.25">
      <c r="A146" s="4">
        <v>46265</v>
      </c>
      <c r="B146" s="2">
        <f t="shared" si="4"/>
        <v>46265</v>
      </c>
      <c r="C146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W21 (29/8 - 4/9)</v>
      </c>
      <c r="D146" s="3" t="s">
        <v>16</v>
      </c>
      <c r="E146" s="11" t="s">
        <v>17</v>
      </c>
      <c r="F146" s="3">
        <v>0</v>
      </c>
      <c r="G146" s="5">
        <v>0</v>
      </c>
    </row>
    <row r="147" spans="1:7" x14ac:dyDescent="0.25">
      <c r="A147" s="4">
        <v>46266</v>
      </c>
      <c r="B147" s="2">
        <f t="shared" si="4"/>
        <v>46266</v>
      </c>
      <c r="C147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W21 (29/8 - 4/9)</v>
      </c>
      <c r="D147" s="3" t="s">
        <v>16</v>
      </c>
      <c r="E147" s="11" t="s">
        <v>17</v>
      </c>
      <c r="F147" s="3">
        <v>30</v>
      </c>
      <c r="G147" s="5">
        <v>240</v>
      </c>
    </row>
    <row r="148" spans="1:7" x14ac:dyDescent="0.25">
      <c r="A148" s="4">
        <v>46267</v>
      </c>
      <c r="B148" s="2">
        <f t="shared" si="4"/>
        <v>46267</v>
      </c>
      <c r="C148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W21 (29/8 - 4/9)</v>
      </c>
      <c r="D148" s="3" t="s">
        <v>16</v>
      </c>
      <c r="E148" s="11" t="s">
        <v>17</v>
      </c>
      <c r="F148" s="3">
        <v>30</v>
      </c>
      <c r="G148" s="5">
        <v>240</v>
      </c>
    </row>
    <row r="149" spans="1:7" x14ac:dyDescent="0.25">
      <c r="A149" s="4">
        <v>46268</v>
      </c>
      <c r="B149" s="2">
        <f t="shared" si="4"/>
        <v>46268</v>
      </c>
      <c r="C149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W21 (29/8 - 4/9)</v>
      </c>
      <c r="D149" s="3" t="s">
        <v>16</v>
      </c>
      <c r="E149" s="11" t="s">
        <v>17</v>
      </c>
      <c r="F149" s="3">
        <v>32</v>
      </c>
      <c r="G149" s="5">
        <v>256</v>
      </c>
    </row>
    <row r="150" spans="1:7" x14ac:dyDescent="0.25">
      <c r="A150" s="4">
        <v>46269</v>
      </c>
      <c r="B150" s="2">
        <f t="shared" si="4"/>
        <v>46269</v>
      </c>
      <c r="C150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W21 (29/8 - 4/9)</v>
      </c>
      <c r="D150" s="3" t="s">
        <v>16</v>
      </c>
      <c r="E150" s="11" t="s">
        <v>17</v>
      </c>
      <c r="F150" s="3">
        <v>33</v>
      </c>
      <c r="G150" s="5">
        <v>264</v>
      </c>
    </row>
    <row r="151" spans="1:7" x14ac:dyDescent="0.25">
      <c r="A151" s="4">
        <v>46270</v>
      </c>
      <c r="B151" s="2">
        <f t="shared" si="4"/>
        <v>46270</v>
      </c>
      <c r="C151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W22 (5/9 - 11/9)</v>
      </c>
      <c r="D151" s="3" t="s">
        <v>16</v>
      </c>
      <c r="E151" s="11" t="s">
        <v>17</v>
      </c>
      <c r="F151" s="3">
        <v>29</v>
      </c>
      <c r="G151" s="5">
        <v>232</v>
      </c>
    </row>
    <row r="152" spans="1:7" x14ac:dyDescent="0.25">
      <c r="A152" s="4">
        <v>46271</v>
      </c>
      <c r="B152" s="2">
        <f t="shared" si="4"/>
        <v>46271</v>
      </c>
      <c r="C152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W22 (5/9 - 11/9)</v>
      </c>
      <c r="D152" s="3" t="s">
        <v>16</v>
      </c>
      <c r="E152" s="11" t="s">
        <v>17</v>
      </c>
      <c r="F152" s="3">
        <v>2</v>
      </c>
      <c r="G152" s="5">
        <v>16</v>
      </c>
    </row>
    <row r="153" spans="1:7" x14ac:dyDescent="0.25">
      <c r="A153" s="4">
        <v>46272</v>
      </c>
      <c r="B153" s="2">
        <f t="shared" si="4"/>
        <v>46272</v>
      </c>
      <c r="C153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W22 (5/9 - 11/9)</v>
      </c>
      <c r="D153" s="3" t="s">
        <v>16</v>
      </c>
      <c r="E153" s="11" t="s">
        <v>17</v>
      </c>
      <c r="F153" s="3">
        <v>34</v>
      </c>
      <c r="G153" s="5">
        <v>272</v>
      </c>
    </row>
    <row r="154" spans="1:7" x14ac:dyDescent="0.25">
      <c r="A154" s="4">
        <v>46273</v>
      </c>
      <c r="B154" s="2">
        <f t="shared" si="4"/>
        <v>46273</v>
      </c>
      <c r="C154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W22 (5/9 - 11/9)</v>
      </c>
      <c r="D154" s="3" t="s">
        <v>16</v>
      </c>
      <c r="E154" s="11" t="s">
        <v>17</v>
      </c>
      <c r="F154" s="3">
        <v>34</v>
      </c>
      <c r="G154" s="5">
        <v>272</v>
      </c>
    </row>
    <row r="155" spans="1:7" x14ac:dyDescent="0.25">
      <c r="A155" s="4">
        <v>46274</v>
      </c>
      <c r="B155" s="2">
        <f t="shared" si="4"/>
        <v>46274</v>
      </c>
      <c r="C155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W22 (5/9 - 11/9)</v>
      </c>
      <c r="D155" s="3" t="s">
        <v>16</v>
      </c>
      <c r="E155" s="11" t="s">
        <v>17</v>
      </c>
      <c r="F155" s="3">
        <v>34</v>
      </c>
      <c r="G155" s="5">
        <v>272</v>
      </c>
    </row>
    <row r="156" spans="1:7" x14ac:dyDescent="0.25">
      <c r="A156" s="4">
        <v>46275</v>
      </c>
      <c r="B156" s="2">
        <f t="shared" si="4"/>
        <v>46275</v>
      </c>
      <c r="C156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W22 (5/9 - 11/9)</v>
      </c>
      <c r="D156" s="3" t="s">
        <v>16</v>
      </c>
      <c r="E156" s="11" t="s">
        <v>17</v>
      </c>
      <c r="F156" s="3">
        <v>34</v>
      </c>
      <c r="G156" s="5">
        <v>272</v>
      </c>
    </row>
    <row r="157" spans="1:7" x14ac:dyDescent="0.25">
      <c r="A157" s="4">
        <v>46276</v>
      </c>
      <c r="B157" s="2">
        <f t="shared" si="4"/>
        <v>46276</v>
      </c>
      <c r="C157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W22 (5/9 - 11/9)</v>
      </c>
      <c r="D157" s="3" t="s">
        <v>16</v>
      </c>
      <c r="E157" s="11" t="s">
        <v>17</v>
      </c>
      <c r="F157" s="3">
        <v>33</v>
      </c>
      <c r="G157" s="5">
        <v>264</v>
      </c>
    </row>
    <row r="158" spans="1:7" x14ac:dyDescent="0.25">
      <c r="A158" s="4">
        <v>46277</v>
      </c>
      <c r="B158" s="2">
        <f t="shared" si="4"/>
        <v>46277</v>
      </c>
      <c r="C158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W23 (12/9 - 18/9)</v>
      </c>
      <c r="D158" s="3" t="s">
        <v>16</v>
      </c>
      <c r="E158" s="11" t="s">
        <v>17</v>
      </c>
      <c r="F158" s="3">
        <v>24</v>
      </c>
      <c r="G158" s="5">
        <v>192</v>
      </c>
    </row>
    <row r="159" spans="1:7" x14ac:dyDescent="0.25">
      <c r="A159" s="4">
        <v>46278</v>
      </c>
      <c r="B159" s="2">
        <f t="shared" si="4"/>
        <v>46278</v>
      </c>
      <c r="C159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W23 (12/9 - 18/9)</v>
      </c>
      <c r="D159" s="3" t="s">
        <v>16</v>
      </c>
      <c r="E159" s="11" t="s">
        <v>17</v>
      </c>
      <c r="F159" s="3">
        <v>1</v>
      </c>
      <c r="G159" s="5">
        <v>8</v>
      </c>
    </row>
    <row r="160" spans="1:7" x14ac:dyDescent="0.25">
      <c r="A160" s="4">
        <v>46279</v>
      </c>
      <c r="B160" s="2">
        <f t="shared" si="4"/>
        <v>46279</v>
      </c>
      <c r="C160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W23 (12/9 - 18/9)</v>
      </c>
      <c r="D160" s="3" t="s">
        <v>16</v>
      </c>
      <c r="E160" s="11" t="s">
        <v>17</v>
      </c>
      <c r="F160" s="3">
        <v>32</v>
      </c>
      <c r="G160" s="5">
        <v>256</v>
      </c>
    </row>
    <row r="161" spans="1:7" x14ac:dyDescent="0.25">
      <c r="A161" s="4">
        <v>46280</v>
      </c>
      <c r="B161" s="2">
        <f t="shared" si="4"/>
        <v>46280</v>
      </c>
      <c r="C161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W23 (12/9 - 18/9)</v>
      </c>
      <c r="D161" s="3" t="s">
        <v>16</v>
      </c>
      <c r="E161" s="11" t="s">
        <v>17</v>
      </c>
      <c r="F161" s="3">
        <v>32</v>
      </c>
      <c r="G161" s="5">
        <v>256</v>
      </c>
    </row>
    <row r="162" spans="1:7" x14ac:dyDescent="0.25">
      <c r="A162" s="4">
        <v>46281</v>
      </c>
      <c r="B162" s="2">
        <f t="shared" si="4"/>
        <v>46281</v>
      </c>
      <c r="C162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W23 (12/9 - 18/9)</v>
      </c>
      <c r="D162" s="3" t="s">
        <v>16</v>
      </c>
      <c r="E162" s="11" t="s">
        <v>17</v>
      </c>
      <c r="F162" s="3">
        <v>11</v>
      </c>
      <c r="G162" s="5">
        <v>88</v>
      </c>
    </row>
    <row r="163" spans="1:7" x14ac:dyDescent="0.25">
      <c r="A163" s="4">
        <v>46282</v>
      </c>
      <c r="B163" s="2">
        <f t="shared" si="4"/>
        <v>46282</v>
      </c>
      <c r="C163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W23 (12/9 - 18/9)</v>
      </c>
      <c r="D163" s="3" t="s">
        <v>16</v>
      </c>
      <c r="E163" s="11" t="s">
        <v>17</v>
      </c>
      <c r="F163" s="3">
        <v>32</v>
      </c>
      <c r="G163" s="5">
        <v>256</v>
      </c>
    </row>
    <row r="164" spans="1:7" x14ac:dyDescent="0.25">
      <c r="A164" s="4">
        <v>46283</v>
      </c>
      <c r="B164" s="2">
        <f t="shared" si="4"/>
        <v>46283</v>
      </c>
      <c r="C164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W23 (12/9 - 18/9)</v>
      </c>
      <c r="D164" s="3" t="s">
        <v>16</v>
      </c>
      <c r="E164" s="11" t="s">
        <v>17</v>
      </c>
      <c r="F164" s="3">
        <v>31</v>
      </c>
      <c r="G164" s="5">
        <v>248</v>
      </c>
    </row>
    <row r="165" spans="1:7" x14ac:dyDescent="0.25">
      <c r="A165" s="4">
        <v>46284</v>
      </c>
      <c r="B165" s="2">
        <f t="shared" si="4"/>
        <v>46284</v>
      </c>
      <c r="C165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W24 (19/9 - 25/9)</v>
      </c>
      <c r="D165" s="3" t="s">
        <v>16</v>
      </c>
      <c r="E165" s="11" t="s">
        <v>17</v>
      </c>
      <c r="F165" s="3">
        <v>27</v>
      </c>
      <c r="G165" s="5">
        <v>216</v>
      </c>
    </row>
    <row r="166" spans="1:7" x14ac:dyDescent="0.25">
      <c r="A166" s="4">
        <v>46285</v>
      </c>
      <c r="B166" s="2">
        <f t="shared" ref="B166:B197" si="5">A166</f>
        <v>46285</v>
      </c>
      <c r="C166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W24 (19/9 - 25/9)</v>
      </c>
      <c r="D166" s="3" t="s">
        <v>16</v>
      </c>
      <c r="E166" s="11" t="s">
        <v>17</v>
      </c>
      <c r="F166" s="3">
        <v>1</v>
      </c>
      <c r="G166" s="5">
        <v>8</v>
      </c>
    </row>
    <row r="167" spans="1:7" x14ac:dyDescent="0.25">
      <c r="A167" s="4">
        <v>46286</v>
      </c>
      <c r="B167" s="2">
        <f t="shared" si="5"/>
        <v>46286</v>
      </c>
      <c r="C167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W24 (19/9 - 25/9)</v>
      </c>
      <c r="D167" s="3" t="s">
        <v>16</v>
      </c>
      <c r="E167" s="11" t="s">
        <v>17</v>
      </c>
      <c r="F167" s="3">
        <v>32</v>
      </c>
      <c r="G167" s="5">
        <v>256</v>
      </c>
    </row>
    <row r="168" spans="1:7" x14ac:dyDescent="0.25">
      <c r="A168" s="4">
        <v>46287</v>
      </c>
      <c r="B168" s="2">
        <f t="shared" si="5"/>
        <v>46287</v>
      </c>
      <c r="C168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W24 (19/9 - 25/9)</v>
      </c>
      <c r="D168" s="3" t="s">
        <v>16</v>
      </c>
      <c r="E168" s="11" t="s">
        <v>17</v>
      </c>
      <c r="F168" s="3">
        <v>31</v>
      </c>
      <c r="G168" s="5">
        <v>248</v>
      </c>
    </row>
    <row r="169" spans="1:7" x14ac:dyDescent="0.25">
      <c r="A169" s="4">
        <v>46288</v>
      </c>
      <c r="B169" s="2">
        <f t="shared" si="5"/>
        <v>46288</v>
      </c>
      <c r="C169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W24 (19/9 - 25/9)</v>
      </c>
      <c r="D169" s="3" t="s">
        <v>16</v>
      </c>
      <c r="E169" s="11" t="s">
        <v>17</v>
      </c>
      <c r="F169" s="3">
        <v>32</v>
      </c>
      <c r="G169" s="5">
        <v>256</v>
      </c>
    </row>
    <row r="170" spans="1:7" x14ac:dyDescent="0.25">
      <c r="A170" s="4">
        <v>46289</v>
      </c>
      <c r="B170" s="2">
        <f t="shared" si="5"/>
        <v>46289</v>
      </c>
      <c r="C170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W24 (19/9 - 25/9)</v>
      </c>
      <c r="D170" s="3" t="s">
        <v>16</v>
      </c>
      <c r="E170" s="11" t="s">
        <v>17</v>
      </c>
      <c r="F170" s="3">
        <v>32</v>
      </c>
      <c r="G170" s="5">
        <v>256</v>
      </c>
    </row>
    <row r="171" spans="1:7" x14ac:dyDescent="0.25">
      <c r="A171" s="4">
        <v>46290</v>
      </c>
      <c r="B171" s="2">
        <f t="shared" si="5"/>
        <v>46290</v>
      </c>
      <c r="C171" s="3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W24 (19/9 - 25/9)</v>
      </c>
      <c r="D171" s="3" t="s">
        <v>16</v>
      </c>
      <c r="E171" s="11" t="s">
        <v>17</v>
      </c>
      <c r="F171" s="3">
        <v>31</v>
      </c>
      <c r="G171" s="5">
        <v>248</v>
      </c>
    </row>
    <row r="172" spans="1:7" x14ac:dyDescent="0.25">
      <c r="A172" s="46">
        <v>46291</v>
      </c>
      <c r="B172" s="2">
        <f t="shared" si="5"/>
        <v>46291</v>
      </c>
      <c r="C172" s="47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W25 (26/9 - 2/10)</v>
      </c>
      <c r="D172" s="3" t="s">
        <v>16</v>
      </c>
      <c r="E172" s="3" t="s">
        <v>17</v>
      </c>
      <c r="F172" s="3">
        <v>22</v>
      </c>
      <c r="G172" s="5">
        <v>176</v>
      </c>
    </row>
    <row r="173" spans="1:7" x14ac:dyDescent="0.25">
      <c r="A173" s="46">
        <v>46292</v>
      </c>
      <c r="B173" s="2">
        <f t="shared" si="5"/>
        <v>46292</v>
      </c>
      <c r="C173" s="47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W25 (26/9 - 2/10)</v>
      </c>
      <c r="D173" s="3" t="s">
        <v>16</v>
      </c>
      <c r="E173" s="3" t="s">
        <v>17</v>
      </c>
      <c r="F173" s="3">
        <v>5</v>
      </c>
      <c r="G173" s="5">
        <v>40</v>
      </c>
    </row>
    <row r="174" spans="1:7" x14ac:dyDescent="0.25">
      <c r="A174" s="46">
        <v>46293</v>
      </c>
      <c r="B174" s="2">
        <f t="shared" si="5"/>
        <v>46293</v>
      </c>
      <c r="C174" s="47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W25 (26/9 - 2/10)</v>
      </c>
      <c r="D174" s="3" t="s">
        <v>16</v>
      </c>
      <c r="E174" s="3" t="s">
        <v>17</v>
      </c>
      <c r="F174" s="3">
        <v>30</v>
      </c>
      <c r="G174" s="5">
        <v>240</v>
      </c>
    </row>
    <row r="175" spans="1:7" x14ac:dyDescent="0.25">
      <c r="A175" s="46">
        <v>46294</v>
      </c>
      <c r="B175" s="2">
        <f t="shared" si="5"/>
        <v>46294</v>
      </c>
      <c r="C175" s="47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W25 (26/9 - 2/10)</v>
      </c>
      <c r="D175" s="3" t="s">
        <v>16</v>
      </c>
      <c r="E175" s="3" t="s">
        <v>17</v>
      </c>
      <c r="F175" s="3">
        <v>34</v>
      </c>
      <c r="G175" s="5">
        <v>272</v>
      </c>
    </row>
    <row r="176" spans="1:7" x14ac:dyDescent="0.25">
      <c r="A176" s="46">
        <v>46295</v>
      </c>
      <c r="B176" s="2">
        <f t="shared" si="5"/>
        <v>46295</v>
      </c>
      <c r="C176" s="47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W25 (26/9 - 2/10)</v>
      </c>
      <c r="D176" s="3" t="s">
        <v>16</v>
      </c>
      <c r="E176" s="3" t="s">
        <v>17</v>
      </c>
      <c r="F176" s="3">
        <v>33</v>
      </c>
      <c r="G176" s="5">
        <v>264</v>
      </c>
    </row>
    <row r="177" spans="1:7" x14ac:dyDescent="0.25">
      <c r="A177" s="46">
        <v>46296</v>
      </c>
      <c r="B177" s="2">
        <f t="shared" si="5"/>
        <v>46296</v>
      </c>
      <c r="C177" s="47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W25 (26/9 - 2/10)</v>
      </c>
      <c r="D177" s="3" t="s">
        <v>16</v>
      </c>
      <c r="E177" s="3" t="s">
        <v>17</v>
      </c>
      <c r="F177" s="3">
        <v>33</v>
      </c>
      <c r="G177" s="5">
        <v>264</v>
      </c>
    </row>
    <row r="178" spans="1:7" x14ac:dyDescent="0.25">
      <c r="A178" s="48">
        <v>46297</v>
      </c>
      <c r="B178" s="10">
        <f t="shared" si="5"/>
        <v>46297</v>
      </c>
      <c r="C178" s="49" t="str">
        <f>IF([1]!POM[[#This Row],[DATE]]&lt;DATE(2026,4,11),"0",_xlfn.LET(
_xlpm.W,INT(([1]!POM[[#This Row],[DATE]]-DATE(2026,4,11))/7)+1,
_xlpm.S,DATE(2026,4,11)+(_xlpm.W-1)*7,
_xlpm.E,_xlpm.S+6,
"W"&amp;TEXT(_xlpm.W,"00")&amp;" ("&amp;TEXT(_xlpm.S,"d/m")&amp;" - "&amp;TEXT(_xlpm.E,"d/m")&amp;")"
))</f>
        <v>W25 (26/9 - 2/10)</v>
      </c>
      <c r="D178" s="11" t="s">
        <v>16</v>
      </c>
      <c r="E178" s="11" t="s">
        <v>17</v>
      </c>
      <c r="F178" s="11">
        <v>33</v>
      </c>
      <c r="G178" s="12">
        <v>264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G178"/>
  <sheetViews>
    <sheetView topLeftCell="A162" zoomScale="115" zoomScaleNormal="115" workbookViewId="0">
      <selection activeCell="A172" sqref="A172:G178"/>
    </sheetView>
  </sheetViews>
  <sheetFormatPr defaultColWidth="8.85546875" defaultRowHeight="12.75" x14ac:dyDescent="0.25"/>
  <cols>
    <col min="1" max="1" width="18.7109375" style="1" customWidth="1"/>
    <col min="2" max="2" width="13.7109375" style="1" customWidth="1"/>
    <col min="3" max="3" width="17.85546875" style="1" bestFit="1" customWidth="1"/>
    <col min="4" max="7" width="21.85546875" style="1" customWidth="1"/>
    <col min="8" max="8" width="8.85546875" style="1" customWidth="1"/>
    <col min="9" max="16384" width="8.85546875" style="1"/>
  </cols>
  <sheetData>
    <row r="5" spans="1:7" x14ac:dyDescent="0.25">
      <c r="A5" s="6" t="s">
        <v>0</v>
      </c>
      <c r="B5" s="7" t="s">
        <v>1</v>
      </c>
      <c r="C5" s="7" t="s">
        <v>2</v>
      </c>
      <c r="D5" s="7" t="s">
        <v>12</v>
      </c>
      <c r="E5" s="7" t="s">
        <v>13</v>
      </c>
      <c r="F5" s="7" t="s">
        <v>14</v>
      </c>
      <c r="G5" s="8" t="s">
        <v>15</v>
      </c>
    </row>
    <row r="6" spans="1:7" x14ac:dyDescent="0.25">
      <c r="A6" s="4">
        <v>46125</v>
      </c>
      <c r="B6" s="2">
        <f t="shared" ref="B6:B37" si="0">A6</f>
        <v>46125</v>
      </c>
      <c r="C6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W01 (11/4 - 17/4)</v>
      </c>
      <c r="D6" s="3" t="s">
        <v>18</v>
      </c>
      <c r="E6" s="3" t="s">
        <v>17</v>
      </c>
      <c r="F6" s="3"/>
      <c r="G6" s="5"/>
    </row>
    <row r="7" spans="1:7" x14ac:dyDescent="0.25">
      <c r="A7" s="4">
        <v>46126</v>
      </c>
      <c r="B7" s="2">
        <f t="shared" si="0"/>
        <v>46126</v>
      </c>
      <c r="C7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W01 (11/4 - 17/4)</v>
      </c>
      <c r="D7" s="3" t="s">
        <v>18</v>
      </c>
      <c r="E7" s="3" t="s">
        <v>17</v>
      </c>
      <c r="F7" s="3"/>
      <c r="G7" s="5"/>
    </row>
    <row r="8" spans="1:7" x14ac:dyDescent="0.25">
      <c r="A8" s="4">
        <v>46127</v>
      </c>
      <c r="B8" s="2">
        <f t="shared" si="0"/>
        <v>46127</v>
      </c>
      <c r="C8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W01 (11/4 - 17/4)</v>
      </c>
      <c r="D8" s="3" t="s">
        <v>18</v>
      </c>
      <c r="E8" s="3" t="s">
        <v>17</v>
      </c>
      <c r="F8" s="3"/>
      <c r="G8" s="5"/>
    </row>
    <row r="9" spans="1:7" x14ac:dyDescent="0.25">
      <c r="A9" s="4">
        <v>46128</v>
      </c>
      <c r="B9" s="2">
        <f t="shared" si="0"/>
        <v>46128</v>
      </c>
      <c r="C9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W01 (11/4 - 17/4)</v>
      </c>
      <c r="D9" s="3" t="s">
        <v>18</v>
      </c>
      <c r="E9" s="3" t="s">
        <v>17</v>
      </c>
      <c r="F9" s="3"/>
      <c r="G9" s="5"/>
    </row>
    <row r="10" spans="1:7" x14ac:dyDescent="0.25">
      <c r="A10" s="4">
        <v>46129</v>
      </c>
      <c r="B10" s="2">
        <f t="shared" si="0"/>
        <v>46129</v>
      </c>
      <c r="C10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W01 (11/4 - 17/4)</v>
      </c>
      <c r="D10" s="3" t="s">
        <v>18</v>
      </c>
      <c r="E10" s="3" t="s">
        <v>17</v>
      </c>
      <c r="F10" s="3"/>
      <c r="G10" s="5"/>
    </row>
    <row r="11" spans="1:7" x14ac:dyDescent="0.25">
      <c r="A11" s="4">
        <v>46130</v>
      </c>
      <c r="B11" s="2">
        <f t="shared" si="0"/>
        <v>46130</v>
      </c>
      <c r="C11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W02 (18/4 - 24/4)</v>
      </c>
      <c r="D11" s="3" t="s">
        <v>18</v>
      </c>
      <c r="E11" s="3" t="s">
        <v>17</v>
      </c>
      <c r="F11" s="3"/>
      <c r="G11" s="5"/>
    </row>
    <row r="12" spans="1:7" x14ac:dyDescent="0.25">
      <c r="A12" s="4">
        <v>46131</v>
      </c>
      <c r="B12" s="2">
        <f t="shared" si="0"/>
        <v>46131</v>
      </c>
      <c r="C12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W02 (18/4 - 24/4)</v>
      </c>
      <c r="D12" s="3" t="s">
        <v>18</v>
      </c>
      <c r="E12" s="3" t="s">
        <v>17</v>
      </c>
      <c r="F12" s="3"/>
      <c r="G12" s="5"/>
    </row>
    <row r="13" spans="1:7" x14ac:dyDescent="0.25">
      <c r="A13" s="4">
        <v>46132</v>
      </c>
      <c r="B13" s="2">
        <f t="shared" si="0"/>
        <v>46132</v>
      </c>
      <c r="C13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W02 (18/4 - 24/4)</v>
      </c>
      <c r="D13" s="3" t="s">
        <v>18</v>
      </c>
      <c r="E13" s="3" t="s">
        <v>17</v>
      </c>
      <c r="F13" s="3"/>
      <c r="G13" s="5"/>
    </row>
    <row r="14" spans="1:7" x14ac:dyDescent="0.25">
      <c r="A14" s="4">
        <v>46133</v>
      </c>
      <c r="B14" s="2">
        <f t="shared" si="0"/>
        <v>46133</v>
      </c>
      <c r="C14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W02 (18/4 - 24/4)</v>
      </c>
      <c r="D14" s="3" t="s">
        <v>18</v>
      </c>
      <c r="E14" s="3" t="s">
        <v>17</v>
      </c>
      <c r="F14" s="3"/>
      <c r="G14" s="5"/>
    </row>
    <row r="15" spans="1:7" x14ac:dyDescent="0.25">
      <c r="A15" s="4">
        <v>46134</v>
      </c>
      <c r="B15" s="2">
        <f t="shared" si="0"/>
        <v>46134</v>
      </c>
      <c r="C15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W02 (18/4 - 24/4)</v>
      </c>
      <c r="D15" s="3" t="s">
        <v>18</v>
      </c>
      <c r="E15" s="3" t="s">
        <v>17</v>
      </c>
      <c r="F15" s="3"/>
      <c r="G15" s="5"/>
    </row>
    <row r="16" spans="1:7" x14ac:dyDescent="0.25">
      <c r="A16" s="4">
        <v>46135</v>
      </c>
      <c r="B16" s="2">
        <f t="shared" si="0"/>
        <v>46135</v>
      </c>
      <c r="C16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W02 (18/4 - 24/4)</v>
      </c>
      <c r="D16" s="3" t="s">
        <v>18</v>
      </c>
      <c r="E16" s="3" t="s">
        <v>17</v>
      </c>
      <c r="F16" s="3"/>
      <c r="G16" s="5"/>
    </row>
    <row r="17" spans="1:7" x14ac:dyDescent="0.25">
      <c r="A17" s="4">
        <v>46136</v>
      </c>
      <c r="B17" s="2">
        <f t="shared" si="0"/>
        <v>46136</v>
      </c>
      <c r="C17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W02 (18/4 - 24/4)</v>
      </c>
      <c r="D17" s="3" t="s">
        <v>18</v>
      </c>
      <c r="E17" s="3" t="s">
        <v>17</v>
      </c>
      <c r="F17" s="3"/>
      <c r="G17" s="5"/>
    </row>
    <row r="18" spans="1:7" x14ac:dyDescent="0.25">
      <c r="A18" s="4">
        <v>46137</v>
      </c>
      <c r="B18" s="2">
        <f t="shared" si="0"/>
        <v>46137</v>
      </c>
      <c r="C18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W03 (25/4 - 1/5)</v>
      </c>
      <c r="D18" s="3" t="s">
        <v>18</v>
      </c>
      <c r="E18" s="3" t="s">
        <v>17</v>
      </c>
      <c r="F18" s="3"/>
      <c r="G18" s="5"/>
    </row>
    <row r="19" spans="1:7" x14ac:dyDescent="0.25">
      <c r="A19" s="4">
        <v>46138</v>
      </c>
      <c r="B19" s="2">
        <f t="shared" si="0"/>
        <v>46138</v>
      </c>
      <c r="C19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W03 (25/4 - 1/5)</v>
      </c>
      <c r="D19" s="3" t="s">
        <v>18</v>
      </c>
      <c r="E19" s="3" t="s">
        <v>17</v>
      </c>
      <c r="F19" s="3"/>
      <c r="G19" s="5"/>
    </row>
    <row r="20" spans="1:7" x14ac:dyDescent="0.25">
      <c r="A20" s="4">
        <v>46139</v>
      </c>
      <c r="B20" s="2">
        <f t="shared" si="0"/>
        <v>46139</v>
      </c>
      <c r="C20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W03 (25/4 - 1/5)</v>
      </c>
      <c r="D20" s="3" t="s">
        <v>18</v>
      </c>
      <c r="E20" s="3" t="s">
        <v>17</v>
      </c>
      <c r="F20" s="3"/>
      <c r="G20" s="5"/>
    </row>
    <row r="21" spans="1:7" x14ac:dyDescent="0.25">
      <c r="A21" s="4">
        <v>46140</v>
      </c>
      <c r="B21" s="2">
        <f t="shared" si="0"/>
        <v>46140</v>
      </c>
      <c r="C21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W03 (25/4 - 1/5)</v>
      </c>
      <c r="D21" s="3" t="s">
        <v>18</v>
      </c>
      <c r="E21" s="3" t="s">
        <v>17</v>
      </c>
      <c r="F21" s="3"/>
      <c r="G21" s="5"/>
    </row>
    <row r="22" spans="1:7" x14ac:dyDescent="0.25">
      <c r="A22" s="4">
        <v>46141</v>
      </c>
      <c r="B22" s="2">
        <f t="shared" si="0"/>
        <v>46141</v>
      </c>
      <c r="C22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W03 (25/4 - 1/5)</v>
      </c>
      <c r="D22" s="3" t="s">
        <v>18</v>
      </c>
      <c r="E22" s="3" t="s">
        <v>17</v>
      </c>
      <c r="F22" s="3"/>
      <c r="G22" s="5"/>
    </row>
    <row r="23" spans="1:7" x14ac:dyDescent="0.25">
      <c r="A23" s="4">
        <v>46142</v>
      </c>
      <c r="B23" s="2">
        <f t="shared" si="0"/>
        <v>46142</v>
      </c>
      <c r="C23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W03 (25/4 - 1/5)</v>
      </c>
      <c r="D23" s="3" t="s">
        <v>18</v>
      </c>
      <c r="E23" s="3" t="s">
        <v>17</v>
      </c>
      <c r="F23" s="3"/>
      <c r="G23" s="5"/>
    </row>
    <row r="24" spans="1:7" x14ac:dyDescent="0.25">
      <c r="A24" s="4">
        <v>46143</v>
      </c>
      <c r="B24" s="2">
        <f t="shared" si="0"/>
        <v>46143</v>
      </c>
      <c r="C24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W03 (25/4 - 1/5)</v>
      </c>
      <c r="D24" s="3" t="s">
        <v>18</v>
      </c>
      <c r="E24" s="3" t="s">
        <v>17</v>
      </c>
      <c r="F24" s="3">
        <v>0</v>
      </c>
      <c r="G24" s="5">
        <v>0</v>
      </c>
    </row>
    <row r="25" spans="1:7" x14ac:dyDescent="0.25">
      <c r="A25" s="4">
        <v>46144</v>
      </c>
      <c r="B25" s="2">
        <f t="shared" si="0"/>
        <v>46144</v>
      </c>
      <c r="C25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W04 (2/5 - 8/5)</v>
      </c>
      <c r="D25" s="3" t="s">
        <v>18</v>
      </c>
      <c r="E25" s="3" t="s">
        <v>17</v>
      </c>
      <c r="F25" s="3">
        <v>0</v>
      </c>
      <c r="G25" s="5">
        <v>0</v>
      </c>
    </row>
    <row r="26" spans="1:7" x14ac:dyDescent="0.25">
      <c r="A26" s="4">
        <v>46145</v>
      </c>
      <c r="B26" s="2">
        <f t="shared" si="0"/>
        <v>46145</v>
      </c>
      <c r="C26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W04 (2/5 - 8/5)</v>
      </c>
      <c r="D26" s="3" t="s">
        <v>18</v>
      </c>
      <c r="E26" s="3" t="s">
        <v>17</v>
      </c>
      <c r="F26" s="3">
        <v>0</v>
      </c>
      <c r="G26" s="5">
        <v>0</v>
      </c>
    </row>
    <row r="27" spans="1:7" x14ac:dyDescent="0.25">
      <c r="A27" s="4">
        <v>46146</v>
      </c>
      <c r="B27" s="2">
        <f t="shared" si="0"/>
        <v>46146</v>
      </c>
      <c r="C27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W04 (2/5 - 8/5)</v>
      </c>
      <c r="D27" s="3" t="s">
        <v>18</v>
      </c>
      <c r="E27" s="3" t="s">
        <v>17</v>
      </c>
      <c r="F27" s="3">
        <v>1</v>
      </c>
      <c r="G27" s="5">
        <v>8</v>
      </c>
    </row>
    <row r="28" spans="1:7" x14ac:dyDescent="0.25">
      <c r="A28" s="4">
        <v>46147</v>
      </c>
      <c r="B28" s="2">
        <f t="shared" si="0"/>
        <v>46147</v>
      </c>
      <c r="C28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W04 (2/5 - 8/5)</v>
      </c>
      <c r="D28" s="3" t="s">
        <v>18</v>
      </c>
      <c r="E28" s="3" t="s">
        <v>17</v>
      </c>
      <c r="F28" s="3">
        <v>1</v>
      </c>
      <c r="G28" s="5">
        <v>8</v>
      </c>
    </row>
    <row r="29" spans="1:7" x14ac:dyDescent="0.25">
      <c r="A29" s="4">
        <v>46148</v>
      </c>
      <c r="B29" s="2">
        <f t="shared" si="0"/>
        <v>46148</v>
      </c>
      <c r="C29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W04 (2/5 - 8/5)</v>
      </c>
      <c r="D29" s="3" t="s">
        <v>18</v>
      </c>
      <c r="E29" s="3" t="s">
        <v>17</v>
      </c>
      <c r="F29" s="3">
        <v>1</v>
      </c>
      <c r="G29" s="5">
        <v>8</v>
      </c>
    </row>
    <row r="30" spans="1:7" x14ac:dyDescent="0.25">
      <c r="A30" s="4">
        <v>46149</v>
      </c>
      <c r="B30" s="2">
        <f t="shared" si="0"/>
        <v>46149</v>
      </c>
      <c r="C30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W04 (2/5 - 8/5)</v>
      </c>
      <c r="D30" s="3" t="s">
        <v>18</v>
      </c>
      <c r="E30" s="3" t="s">
        <v>17</v>
      </c>
      <c r="F30" s="3">
        <v>1</v>
      </c>
      <c r="G30" s="5">
        <v>8</v>
      </c>
    </row>
    <row r="31" spans="1:7" x14ac:dyDescent="0.25">
      <c r="A31" s="4">
        <v>46150</v>
      </c>
      <c r="B31" s="2">
        <f t="shared" si="0"/>
        <v>46150</v>
      </c>
      <c r="C31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W04 (2/5 - 8/5)</v>
      </c>
      <c r="D31" s="3" t="s">
        <v>18</v>
      </c>
      <c r="E31" s="3" t="s">
        <v>17</v>
      </c>
      <c r="F31" s="3">
        <v>1</v>
      </c>
      <c r="G31" s="5">
        <v>8</v>
      </c>
    </row>
    <row r="32" spans="1:7" x14ac:dyDescent="0.25">
      <c r="A32" s="4">
        <v>46151</v>
      </c>
      <c r="B32" s="2">
        <f t="shared" si="0"/>
        <v>46151</v>
      </c>
      <c r="C32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W05 (9/5 - 15/5)</v>
      </c>
      <c r="D32" s="3" t="s">
        <v>18</v>
      </c>
      <c r="E32" s="3" t="s">
        <v>17</v>
      </c>
      <c r="F32" s="3">
        <v>1</v>
      </c>
      <c r="G32" s="5">
        <v>8</v>
      </c>
    </row>
    <row r="33" spans="1:7" x14ac:dyDescent="0.25">
      <c r="A33" s="4">
        <v>46152</v>
      </c>
      <c r="B33" s="2">
        <f t="shared" si="0"/>
        <v>46152</v>
      </c>
      <c r="C33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W05 (9/5 - 15/5)</v>
      </c>
      <c r="D33" s="3" t="s">
        <v>18</v>
      </c>
      <c r="E33" s="3" t="s">
        <v>17</v>
      </c>
      <c r="F33" s="3">
        <v>0</v>
      </c>
      <c r="G33" s="5">
        <v>0</v>
      </c>
    </row>
    <row r="34" spans="1:7" x14ac:dyDescent="0.25">
      <c r="A34" s="4">
        <v>46153</v>
      </c>
      <c r="B34" s="2">
        <f t="shared" si="0"/>
        <v>46153</v>
      </c>
      <c r="C34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W05 (9/5 - 15/5)</v>
      </c>
      <c r="D34" s="3" t="s">
        <v>18</v>
      </c>
      <c r="E34" s="3" t="s">
        <v>17</v>
      </c>
      <c r="F34" s="3">
        <v>1</v>
      </c>
      <c r="G34" s="5">
        <v>8</v>
      </c>
    </row>
    <row r="35" spans="1:7" x14ac:dyDescent="0.25">
      <c r="A35" s="4">
        <v>46154</v>
      </c>
      <c r="B35" s="2">
        <f t="shared" si="0"/>
        <v>46154</v>
      </c>
      <c r="C35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W05 (9/5 - 15/5)</v>
      </c>
      <c r="D35" s="3" t="s">
        <v>18</v>
      </c>
      <c r="E35" s="3" t="s">
        <v>17</v>
      </c>
      <c r="F35" s="3">
        <v>1</v>
      </c>
      <c r="G35" s="5">
        <v>8</v>
      </c>
    </row>
    <row r="36" spans="1:7" x14ac:dyDescent="0.25">
      <c r="A36" s="4">
        <v>46155</v>
      </c>
      <c r="B36" s="2">
        <f t="shared" si="0"/>
        <v>46155</v>
      </c>
      <c r="C36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W05 (9/5 - 15/5)</v>
      </c>
      <c r="D36" s="3" t="s">
        <v>18</v>
      </c>
      <c r="E36" s="3" t="s">
        <v>17</v>
      </c>
      <c r="F36" s="3">
        <v>1</v>
      </c>
      <c r="G36" s="5">
        <v>8</v>
      </c>
    </row>
    <row r="37" spans="1:7" x14ac:dyDescent="0.25">
      <c r="A37" s="4">
        <v>46156</v>
      </c>
      <c r="B37" s="2">
        <f t="shared" si="0"/>
        <v>46156</v>
      </c>
      <c r="C37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W05 (9/5 - 15/5)</v>
      </c>
      <c r="D37" s="3" t="s">
        <v>18</v>
      </c>
      <c r="E37" s="3" t="s">
        <v>17</v>
      </c>
      <c r="F37" s="3">
        <v>1</v>
      </c>
      <c r="G37" s="5">
        <v>8</v>
      </c>
    </row>
    <row r="38" spans="1:7" x14ac:dyDescent="0.25">
      <c r="A38" s="4">
        <v>46157</v>
      </c>
      <c r="B38" s="2">
        <f t="shared" ref="B38:B69" si="1">A38</f>
        <v>46157</v>
      </c>
      <c r="C38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W05 (9/5 - 15/5)</v>
      </c>
      <c r="D38" s="3" t="s">
        <v>18</v>
      </c>
      <c r="E38" s="3" t="s">
        <v>17</v>
      </c>
      <c r="F38" s="3">
        <v>1</v>
      </c>
      <c r="G38" s="5">
        <v>8</v>
      </c>
    </row>
    <row r="39" spans="1:7" x14ac:dyDescent="0.25">
      <c r="A39" s="4">
        <v>46158</v>
      </c>
      <c r="B39" s="2">
        <f t="shared" si="1"/>
        <v>46158</v>
      </c>
      <c r="C39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W06 (16/5 - 22/5)</v>
      </c>
      <c r="D39" s="3" t="s">
        <v>18</v>
      </c>
      <c r="E39" s="3" t="s">
        <v>17</v>
      </c>
      <c r="F39" s="3">
        <v>1</v>
      </c>
      <c r="G39" s="5">
        <v>8</v>
      </c>
    </row>
    <row r="40" spans="1:7" x14ac:dyDescent="0.25">
      <c r="A40" s="4">
        <v>46159</v>
      </c>
      <c r="B40" s="2">
        <f t="shared" si="1"/>
        <v>46159</v>
      </c>
      <c r="C40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W06 (16/5 - 22/5)</v>
      </c>
      <c r="D40" s="3" t="s">
        <v>18</v>
      </c>
      <c r="E40" s="3" t="s">
        <v>17</v>
      </c>
      <c r="F40" s="3">
        <v>0</v>
      </c>
      <c r="G40" s="5">
        <v>0</v>
      </c>
    </row>
    <row r="41" spans="1:7" x14ac:dyDescent="0.25">
      <c r="A41" s="4">
        <v>46160</v>
      </c>
      <c r="B41" s="2">
        <f t="shared" si="1"/>
        <v>46160</v>
      </c>
      <c r="C41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W06 (16/5 - 22/5)</v>
      </c>
      <c r="D41" s="3" t="s">
        <v>18</v>
      </c>
      <c r="E41" s="3" t="s">
        <v>17</v>
      </c>
      <c r="F41" s="3">
        <v>1</v>
      </c>
      <c r="G41" s="5">
        <v>8</v>
      </c>
    </row>
    <row r="42" spans="1:7" x14ac:dyDescent="0.25">
      <c r="A42" s="4">
        <v>46161</v>
      </c>
      <c r="B42" s="2">
        <f t="shared" si="1"/>
        <v>46161</v>
      </c>
      <c r="C42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W06 (16/5 - 22/5)</v>
      </c>
      <c r="D42" s="3" t="s">
        <v>18</v>
      </c>
      <c r="E42" s="3" t="s">
        <v>17</v>
      </c>
      <c r="F42" s="3">
        <v>1</v>
      </c>
      <c r="G42" s="5">
        <v>8</v>
      </c>
    </row>
    <row r="43" spans="1:7" x14ac:dyDescent="0.25">
      <c r="A43" s="4">
        <v>46162</v>
      </c>
      <c r="B43" s="2">
        <f t="shared" si="1"/>
        <v>46162</v>
      </c>
      <c r="C43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W06 (16/5 - 22/5)</v>
      </c>
      <c r="D43" s="3" t="s">
        <v>18</v>
      </c>
      <c r="E43" s="3" t="s">
        <v>17</v>
      </c>
      <c r="F43" s="3">
        <v>1</v>
      </c>
      <c r="G43" s="5">
        <v>8</v>
      </c>
    </row>
    <row r="44" spans="1:7" x14ac:dyDescent="0.25">
      <c r="A44" s="4">
        <v>46163</v>
      </c>
      <c r="B44" s="2">
        <f t="shared" si="1"/>
        <v>46163</v>
      </c>
      <c r="C44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W06 (16/5 - 22/5)</v>
      </c>
      <c r="D44" s="3" t="s">
        <v>18</v>
      </c>
      <c r="E44" s="3" t="s">
        <v>17</v>
      </c>
      <c r="F44" s="3">
        <v>1</v>
      </c>
      <c r="G44" s="5">
        <v>8</v>
      </c>
    </row>
    <row r="45" spans="1:7" x14ac:dyDescent="0.25">
      <c r="A45" s="4">
        <v>46164</v>
      </c>
      <c r="B45" s="2">
        <f t="shared" si="1"/>
        <v>46164</v>
      </c>
      <c r="C45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W06 (16/5 - 22/5)</v>
      </c>
      <c r="D45" s="3" t="s">
        <v>18</v>
      </c>
      <c r="E45" s="3" t="s">
        <v>17</v>
      </c>
      <c r="F45" s="3">
        <v>1</v>
      </c>
      <c r="G45" s="5">
        <v>8</v>
      </c>
    </row>
    <row r="46" spans="1:7" x14ac:dyDescent="0.25">
      <c r="A46" s="4">
        <v>46165</v>
      </c>
      <c r="B46" s="2">
        <f t="shared" si="1"/>
        <v>46165</v>
      </c>
      <c r="C46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W07 (23/5 - 29/5)</v>
      </c>
      <c r="D46" s="3" t="s">
        <v>18</v>
      </c>
      <c r="E46" s="3" t="s">
        <v>17</v>
      </c>
      <c r="F46" s="3">
        <v>1</v>
      </c>
      <c r="G46" s="5">
        <v>8</v>
      </c>
    </row>
    <row r="47" spans="1:7" x14ac:dyDescent="0.25">
      <c r="A47" s="4">
        <v>46166</v>
      </c>
      <c r="B47" s="2">
        <f t="shared" si="1"/>
        <v>46166</v>
      </c>
      <c r="C47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W07 (23/5 - 29/5)</v>
      </c>
      <c r="D47" s="3" t="s">
        <v>18</v>
      </c>
      <c r="E47" s="3" t="s">
        <v>17</v>
      </c>
      <c r="F47" s="3">
        <v>0</v>
      </c>
      <c r="G47" s="5">
        <v>0</v>
      </c>
    </row>
    <row r="48" spans="1:7" x14ac:dyDescent="0.25">
      <c r="A48" s="4">
        <v>46167</v>
      </c>
      <c r="B48" s="2">
        <f t="shared" si="1"/>
        <v>46167</v>
      </c>
      <c r="C48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W07 (23/5 - 29/5)</v>
      </c>
      <c r="D48" s="3" t="s">
        <v>18</v>
      </c>
      <c r="E48" s="3" t="s">
        <v>17</v>
      </c>
      <c r="F48" s="3">
        <v>1</v>
      </c>
      <c r="G48" s="5">
        <v>8</v>
      </c>
    </row>
    <row r="49" spans="1:7" x14ac:dyDescent="0.25">
      <c r="A49" s="4">
        <v>46168</v>
      </c>
      <c r="B49" s="2">
        <f t="shared" si="1"/>
        <v>46168</v>
      </c>
      <c r="C49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W07 (23/5 - 29/5)</v>
      </c>
      <c r="D49" s="3" t="s">
        <v>18</v>
      </c>
      <c r="E49" s="3" t="s">
        <v>17</v>
      </c>
      <c r="F49" s="3">
        <v>1</v>
      </c>
      <c r="G49" s="5">
        <v>8</v>
      </c>
    </row>
    <row r="50" spans="1:7" x14ac:dyDescent="0.25">
      <c r="A50" s="4">
        <v>46169</v>
      </c>
      <c r="B50" s="2">
        <f t="shared" si="1"/>
        <v>46169</v>
      </c>
      <c r="C50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W07 (23/5 - 29/5)</v>
      </c>
      <c r="D50" s="3" t="s">
        <v>18</v>
      </c>
      <c r="E50" s="3" t="s">
        <v>17</v>
      </c>
      <c r="F50" s="3">
        <v>0</v>
      </c>
      <c r="G50" s="5">
        <v>0</v>
      </c>
    </row>
    <row r="51" spans="1:7" x14ac:dyDescent="0.25">
      <c r="A51" s="4">
        <v>46170</v>
      </c>
      <c r="B51" s="2">
        <f t="shared" si="1"/>
        <v>46170</v>
      </c>
      <c r="C51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W07 (23/5 - 29/5)</v>
      </c>
      <c r="D51" s="3" t="s">
        <v>18</v>
      </c>
      <c r="E51" s="3" t="s">
        <v>17</v>
      </c>
      <c r="F51" s="3">
        <v>1</v>
      </c>
      <c r="G51" s="5">
        <v>8</v>
      </c>
    </row>
    <row r="52" spans="1:7" x14ac:dyDescent="0.25">
      <c r="A52" s="4">
        <v>46171</v>
      </c>
      <c r="B52" s="2">
        <f t="shared" si="1"/>
        <v>46171</v>
      </c>
      <c r="C52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W07 (23/5 - 29/5)</v>
      </c>
      <c r="D52" s="3" t="s">
        <v>18</v>
      </c>
      <c r="E52" s="3" t="s">
        <v>17</v>
      </c>
      <c r="F52" s="3">
        <v>1</v>
      </c>
      <c r="G52" s="5">
        <v>8</v>
      </c>
    </row>
    <row r="53" spans="1:7" x14ac:dyDescent="0.25">
      <c r="A53" s="4">
        <v>46172</v>
      </c>
      <c r="B53" s="2">
        <f t="shared" si="1"/>
        <v>46172</v>
      </c>
      <c r="C53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W08 (30/5 - 5/6)</v>
      </c>
      <c r="D53" s="3" t="s">
        <v>18</v>
      </c>
      <c r="E53" s="3" t="s">
        <v>17</v>
      </c>
      <c r="F53" s="3">
        <v>1</v>
      </c>
      <c r="G53" s="5">
        <v>8</v>
      </c>
    </row>
    <row r="54" spans="1:7" x14ac:dyDescent="0.25">
      <c r="A54" s="4">
        <v>46173</v>
      </c>
      <c r="B54" s="2">
        <f t="shared" si="1"/>
        <v>46173</v>
      </c>
      <c r="C54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W08 (30/5 - 5/6)</v>
      </c>
      <c r="D54" s="3" t="s">
        <v>18</v>
      </c>
      <c r="E54" s="3" t="s">
        <v>17</v>
      </c>
      <c r="F54" s="3">
        <v>1</v>
      </c>
      <c r="G54" s="5">
        <v>8</v>
      </c>
    </row>
    <row r="55" spans="1:7" x14ac:dyDescent="0.25">
      <c r="A55" s="4">
        <v>46174</v>
      </c>
      <c r="B55" s="2">
        <f t="shared" si="1"/>
        <v>46174</v>
      </c>
      <c r="C55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W08 (30/5 - 5/6)</v>
      </c>
      <c r="D55" s="3" t="s">
        <v>18</v>
      </c>
      <c r="E55" s="3" t="s">
        <v>17</v>
      </c>
      <c r="F55" s="3">
        <v>0</v>
      </c>
      <c r="G55" s="5">
        <v>0</v>
      </c>
    </row>
    <row r="56" spans="1:7" x14ac:dyDescent="0.25">
      <c r="A56" s="4">
        <v>46175</v>
      </c>
      <c r="B56" s="2">
        <f t="shared" si="1"/>
        <v>46175</v>
      </c>
      <c r="C56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W08 (30/5 - 5/6)</v>
      </c>
      <c r="D56" s="3" t="s">
        <v>18</v>
      </c>
      <c r="E56" s="3" t="s">
        <v>17</v>
      </c>
      <c r="F56" s="3">
        <v>0</v>
      </c>
      <c r="G56" s="5">
        <v>0</v>
      </c>
    </row>
    <row r="57" spans="1:7" x14ac:dyDescent="0.25">
      <c r="A57" s="4">
        <v>46176</v>
      </c>
      <c r="B57" s="2">
        <f t="shared" si="1"/>
        <v>46176</v>
      </c>
      <c r="C57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W08 (30/5 - 5/6)</v>
      </c>
      <c r="D57" s="3" t="s">
        <v>18</v>
      </c>
      <c r="E57" s="3" t="s">
        <v>17</v>
      </c>
      <c r="F57" s="3">
        <v>1</v>
      </c>
      <c r="G57" s="5">
        <v>8</v>
      </c>
    </row>
    <row r="58" spans="1:7" x14ac:dyDescent="0.25">
      <c r="A58" s="4">
        <v>46177</v>
      </c>
      <c r="B58" s="2">
        <f t="shared" si="1"/>
        <v>46177</v>
      </c>
      <c r="C58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W08 (30/5 - 5/6)</v>
      </c>
      <c r="D58" s="3" t="s">
        <v>18</v>
      </c>
      <c r="E58" s="3" t="s">
        <v>17</v>
      </c>
      <c r="F58" s="3">
        <v>1</v>
      </c>
      <c r="G58" s="5">
        <v>8</v>
      </c>
    </row>
    <row r="59" spans="1:7" x14ac:dyDescent="0.25">
      <c r="A59" s="4">
        <v>46178</v>
      </c>
      <c r="B59" s="2">
        <f t="shared" si="1"/>
        <v>46178</v>
      </c>
      <c r="C59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W08 (30/5 - 5/6)</v>
      </c>
      <c r="D59" s="3" t="s">
        <v>18</v>
      </c>
      <c r="E59" s="3" t="s">
        <v>17</v>
      </c>
      <c r="F59" s="3">
        <v>1</v>
      </c>
      <c r="G59" s="5">
        <v>8</v>
      </c>
    </row>
    <row r="60" spans="1:7" x14ac:dyDescent="0.25">
      <c r="A60" s="4">
        <v>46179</v>
      </c>
      <c r="B60" s="2">
        <f t="shared" si="1"/>
        <v>46179</v>
      </c>
      <c r="C60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W09 (6/6 - 12/6)</v>
      </c>
      <c r="D60" s="3" t="s">
        <v>18</v>
      </c>
      <c r="E60" s="3" t="s">
        <v>17</v>
      </c>
      <c r="F60" s="3">
        <v>1</v>
      </c>
      <c r="G60" s="5">
        <v>8</v>
      </c>
    </row>
    <row r="61" spans="1:7" x14ac:dyDescent="0.25">
      <c r="A61" s="4">
        <v>46180</v>
      </c>
      <c r="B61" s="2">
        <f t="shared" si="1"/>
        <v>46180</v>
      </c>
      <c r="C61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W09 (6/6 - 12/6)</v>
      </c>
      <c r="D61" s="3" t="s">
        <v>18</v>
      </c>
      <c r="E61" s="3" t="s">
        <v>17</v>
      </c>
      <c r="F61" s="3">
        <v>0</v>
      </c>
      <c r="G61" s="5">
        <v>0</v>
      </c>
    </row>
    <row r="62" spans="1:7" x14ac:dyDescent="0.25">
      <c r="A62" s="4">
        <v>46181</v>
      </c>
      <c r="B62" s="2">
        <f t="shared" si="1"/>
        <v>46181</v>
      </c>
      <c r="C62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W09 (6/6 - 12/6)</v>
      </c>
      <c r="D62" s="3" t="s">
        <v>18</v>
      </c>
      <c r="E62" s="3" t="s">
        <v>17</v>
      </c>
      <c r="F62" s="3">
        <v>2</v>
      </c>
      <c r="G62" s="5">
        <v>16</v>
      </c>
    </row>
    <row r="63" spans="1:7" x14ac:dyDescent="0.25">
      <c r="A63" s="4">
        <v>46182</v>
      </c>
      <c r="B63" s="2">
        <f t="shared" si="1"/>
        <v>46182</v>
      </c>
      <c r="C63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W09 (6/6 - 12/6)</v>
      </c>
      <c r="D63" s="3" t="s">
        <v>18</v>
      </c>
      <c r="E63" s="3" t="s">
        <v>17</v>
      </c>
      <c r="F63" s="3">
        <v>2</v>
      </c>
      <c r="G63" s="5">
        <v>16</v>
      </c>
    </row>
    <row r="64" spans="1:7" x14ac:dyDescent="0.25">
      <c r="A64" s="4">
        <v>46183</v>
      </c>
      <c r="B64" s="2">
        <f t="shared" si="1"/>
        <v>46183</v>
      </c>
      <c r="C64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W09 (6/6 - 12/6)</v>
      </c>
      <c r="D64" s="3" t="s">
        <v>18</v>
      </c>
      <c r="E64" s="3" t="s">
        <v>17</v>
      </c>
      <c r="F64" s="3">
        <v>2</v>
      </c>
      <c r="G64" s="5">
        <v>16</v>
      </c>
    </row>
    <row r="65" spans="1:7" x14ac:dyDescent="0.25">
      <c r="A65" s="4">
        <v>46184</v>
      </c>
      <c r="B65" s="2">
        <f t="shared" si="1"/>
        <v>46184</v>
      </c>
      <c r="C65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W09 (6/6 - 12/6)</v>
      </c>
      <c r="D65" s="3" t="s">
        <v>18</v>
      </c>
      <c r="E65" s="3" t="s">
        <v>17</v>
      </c>
      <c r="F65" s="3">
        <v>2</v>
      </c>
      <c r="G65" s="5">
        <v>16</v>
      </c>
    </row>
    <row r="66" spans="1:7" x14ac:dyDescent="0.25">
      <c r="A66" s="4">
        <v>46185</v>
      </c>
      <c r="B66" s="2">
        <f t="shared" si="1"/>
        <v>46185</v>
      </c>
      <c r="C66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W09 (6/6 - 12/6)</v>
      </c>
      <c r="D66" s="3" t="s">
        <v>18</v>
      </c>
      <c r="E66" s="3" t="s">
        <v>17</v>
      </c>
      <c r="F66" s="3">
        <v>2</v>
      </c>
      <c r="G66" s="5">
        <v>16</v>
      </c>
    </row>
    <row r="67" spans="1:7" x14ac:dyDescent="0.25">
      <c r="A67" s="4">
        <v>46186</v>
      </c>
      <c r="B67" s="2">
        <f t="shared" si="1"/>
        <v>46186</v>
      </c>
      <c r="C67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W10 (13/6 - 19/6)</v>
      </c>
      <c r="D67" s="3" t="s">
        <v>18</v>
      </c>
      <c r="E67" s="3" t="s">
        <v>17</v>
      </c>
      <c r="F67" s="3">
        <v>2</v>
      </c>
      <c r="G67" s="5">
        <v>16</v>
      </c>
    </row>
    <row r="68" spans="1:7" x14ac:dyDescent="0.25">
      <c r="A68" s="4">
        <v>46187</v>
      </c>
      <c r="B68" s="2">
        <f t="shared" si="1"/>
        <v>46187</v>
      </c>
      <c r="C68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W10 (13/6 - 19/6)</v>
      </c>
      <c r="D68" s="3" t="s">
        <v>18</v>
      </c>
      <c r="E68" s="3" t="s">
        <v>17</v>
      </c>
      <c r="F68" s="3">
        <v>0</v>
      </c>
      <c r="G68" s="5">
        <v>0</v>
      </c>
    </row>
    <row r="69" spans="1:7" x14ac:dyDescent="0.25">
      <c r="A69" s="4">
        <v>46188</v>
      </c>
      <c r="B69" s="2">
        <f t="shared" si="1"/>
        <v>46188</v>
      </c>
      <c r="C69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W10 (13/6 - 19/6)</v>
      </c>
      <c r="D69" s="3" t="s">
        <v>18</v>
      </c>
      <c r="E69" s="3" t="s">
        <v>17</v>
      </c>
      <c r="F69" s="3">
        <v>2</v>
      </c>
      <c r="G69" s="5">
        <v>16</v>
      </c>
    </row>
    <row r="70" spans="1:7" x14ac:dyDescent="0.25">
      <c r="A70" s="4">
        <v>46189</v>
      </c>
      <c r="B70" s="2">
        <f t="shared" ref="B70:B101" si="2">A70</f>
        <v>46189</v>
      </c>
      <c r="C70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W10 (13/6 - 19/6)</v>
      </c>
      <c r="D70" s="3" t="s">
        <v>18</v>
      </c>
      <c r="E70" s="3" t="s">
        <v>17</v>
      </c>
      <c r="F70" s="3">
        <v>2</v>
      </c>
      <c r="G70" s="5">
        <v>16</v>
      </c>
    </row>
    <row r="71" spans="1:7" x14ac:dyDescent="0.25">
      <c r="A71" s="4">
        <v>46190</v>
      </c>
      <c r="B71" s="2">
        <f t="shared" si="2"/>
        <v>46190</v>
      </c>
      <c r="C71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W10 (13/6 - 19/6)</v>
      </c>
      <c r="D71" s="3" t="s">
        <v>18</v>
      </c>
      <c r="E71" s="3" t="s">
        <v>17</v>
      </c>
      <c r="F71" s="3">
        <v>0</v>
      </c>
      <c r="G71" s="5">
        <v>0</v>
      </c>
    </row>
    <row r="72" spans="1:7" x14ac:dyDescent="0.25">
      <c r="A72" s="4">
        <v>46191</v>
      </c>
      <c r="B72" s="2">
        <f t="shared" si="2"/>
        <v>46191</v>
      </c>
      <c r="C72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W10 (13/6 - 19/6)</v>
      </c>
      <c r="D72" s="3" t="s">
        <v>18</v>
      </c>
      <c r="E72" s="3" t="s">
        <v>17</v>
      </c>
      <c r="F72" s="3">
        <v>2</v>
      </c>
      <c r="G72" s="5">
        <v>16</v>
      </c>
    </row>
    <row r="73" spans="1:7" x14ac:dyDescent="0.25">
      <c r="A73" s="4">
        <v>46192</v>
      </c>
      <c r="B73" s="2">
        <f t="shared" si="2"/>
        <v>46192</v>
      </c>
      <c r="C73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W10 (13/6 - 19/6)</v>
      </c>
      <c r="D73" s="3" t="s">
        <v>18</v>
      </c>
      <c r="E73" s="3" t="s">
        <v>17</v>
      </c>
      <c r="F73" s="3">
        <v>2</v>
      </c>
      <c r="G73" s="5">
        <v>16</v>
      </c>
    </row>
    <row r="74" spans="1:7" x14ac:dyDescent="0.25">
      <c r="A74" s="4">
        <v>46193</v>
      </c>
      <c r="B74" s="2">
        <f t="shared" si="2"/>
        <v>46193</v>
      </c>
      <c r="C74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W11 (20/6 - 26/6)</v>
      </c>
      <c r="D74" s="3" t="s">
        <v>18</v>
      </c>
      <c r="E74" s="3" t="s">
        <v>17</v>
      </c>
      <c r="F74" s="3">
        <v>2</v>
      </c>
      <c r="G74" s="5">
        <v>16</v>
      </c>
    </row>
    <row r="75" spans="1:7" x14ac:dyDescent="0.25">
      <c r="A75" s="4">
        <v>46194</v>
      </c>
      <c r="B75" s="2">
        <f t="shared" si="2"/>
        <v>46194</v>
      </c>
      <c r="C75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W11 (20/6 - 26/6)</v>
      </c>
      <c r="D75" s="3" t="s">
        <v>18</v>
      </c>
      <c r="E75" s="3" t="s">
        <v>17</v>
      </c>
      <c r="F75" s="3">
        <v>0</v>
      </c>
      <c r="G75" s="5">
        <v>0</v>
      </c>
    </row>
    <row r="76" spans="1:7" x14ac:dyDescent="0.25">
      <c r="A76" s="4">
        <v>46195</v>
      </c>
      <c r="B76" s="2">
        <f t="shared" si="2"/>
        <v>46195</v>
      </c>
      <c r="C76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W11 (20/6 - 26/6)</v>
      </c>
      <c r="D76" s="3" t="s">
        <v>18</v>
      </c>
      <c r="E76" s="3" t="s">
        <v>17</v>
      </c>
      <c r="F76" s="3">
        <v>2</v>
      </c>
      <c r="G76" s="5">
        <v>16</v>
      </c>
    </row>
    <row r="77" spans="1:7" x14ac:dyDescent="0.25">
      <c r="A77" s="4">
        <v>46196</v>
      </c>
      <c r="B77" s="2">
        <f t="shared" si="2"/>
        <v>46196</v>
      </c>
      <c r="C77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W11 (20/6 - 26/6)</v>
      </c>
      <c r="D77" s="3" t="s">
        <v>18</v>
      </c>
      <c r="E77" s="3" t="s">
        <v>17</v>
      </c>
      <c r="F77" s="3">
        <v>2</v>
      </c>
      <c r="G77" s="5">
        <v>16</v>
      </c>
    </row>
    <row r="78" spans="1:7" x14ac:dyDescent="0.25">
      <c r="A78" s="4">
        <v>46197</v>
      </c>
      <c r="B78" s="2">
        <f t="shared" si="2"/>
        <v>46197</v>
      </c>
      <c r="C78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W11 (20/6 - 26/6)</v>
      </c>
      <c r="D78" s="3" t="s">
        <v>18</v>
      </c>
      <c r="E78" s="3" t="s">
        <v>17</v>
      </c>
      <c r="F78" s="3">
        <v>2</v>
      </c>
      <c r="G78" s="5">
        <v>16</v>
      </c>
    </row>
    <row r="79" spans="1:7" x14ac:dyDescent="0.25">
      <c r="A79" s="4">
        <v>46198</v>
      </c>
      <c r="B79" s="2">
        <f t="shared" si="2"/>
        <v>46198</v>
      </c>
      <c r="C79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W11 (20/6 - 26/6)</v>
      </c>
      <c r="D79" s="3" t="s">
        <v>18</v>
      </c>
      <c r="E79" s="3" t="s">
        <v>17</v>
      </c>
      <c r="F79" s="3">
        <v>2</v>
      </c>
      <c r="G79" s="5">
        <v>16</v>
      </c>
    </row>
    <row r="80" spans="1:7" x14ac:dyDescent="0.25">
      <c r="A80" s="4">
        <v>46199</v>
      </c>
      <c r="B80" s="2">
        <f t="shared" si="2"/>
        <v>46199</v>
      </c>
      <c r="C80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W11 (20/6 - 26/6)</v>
      </c>
      <c r="D80" s="3" t="s">
        <v>18</v>
      </c>
      <c r="E80" s="3" t="s">
        <v>17</v>
      </c>
      <c r="F80" s="3">
        <v>2</v>
      </c>
      <c r="G80" s="5">
        <v>16</v>
      </c>
    </row>
    <row r="81" spans="1:7" x14ac:dyDescent="0.25">
      <c r="A81" s="4">
        <v>46200</v>
      </c>
      <c r="B81" s="2">
        <f t="shared" si="2"/>
        <v>46200</v>
      </c>
      <c r="C81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W12 (27/6 - 3/7)</v>
      </c>
      <c r="D81" s="3" t="s">
        <v>18</v>
      </c>
      <c r="E81" s="3" t="s">
        <v>17</v>
      </c>
      <c r="F81" s="3">
        <v>2</v>
      </c>
      <c r="G81" s="5">
        <v>16</v>
      </c>
    </row>
    <row r="82" spans="1:7" x14ac:dyDescent="0.25">
      <c r="A82" s="4">
        <v>46201</v>
      </c>
      <c r="B82" s="2">
        <f t="shared" si="2"/>
        <v>46201</v>
      </c>
      <c r="C82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W12 (27/6 - 3/7)</v>
      </c>
      <c r="D82" s="3" t="s">
        <v>18</v>
      </c>
      <c r="E82" s="3" t="s">
        <v>17</v>
      </c>
      <c r="F82" s="3">
        <v>0</v>
      </c>
      <c r="G82" s="5">
        <v>0</v>
      </c>
    </row>
    <row r="83" spans="1:7" x14ac:dyDescent="0.25">
      <c r="A83" s="4">
        <v>46202</v>
      </c>
      <c r="B83" s="2">
        <f t="shared" si="2"/>
        <v>46202</v>
      </c>
      <c r="C83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W12 (27/6 - 3/7)</v>
      </c>
      <c r="D83" s="3" t="s">
        <v>18</v>
      </c>
      <c r="E83" s="3" t="s">
        <v>17</v>
      </c>
      <c r="F83" s="3">
        <v>2</v>
      </c>
      <c r="G83" s="5">
        <v>16</v>
      </c>
    </row>
    <row r="84" spans="1:7" x14ac:dyDescent="0.25">
      <c r="A84" s="4">
        <v>46203</v>
      </c>
      <c r="B84" s="2">
        <f t="shared" si="2"/>
        <v>46203</v>
      </c>
      <c r="C84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W12 (27/6 - 3/7)</v>
      </c>
      <c r="D84" s="3" t="s">
        <v>18</v>
      </c>
      <c r="E84" s="3" t="s">
        <v>17</v>
      </c>
      <c r="F84" s="3">
        <v>2</v>
      </c>
      <c r="G84" s="5">
        <v>16</v>
      </c>
    </row>
    <row r="85" spans="1:7" x14ac:dyDescent="0.25">
      <c r="A85" s="4">
        <v>46204</v>
      </c>
      <c r="B85" s="2">
        <f t="shared" si="2"/>
        <v>46204</v>
      </c>
      <c r="C85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W12 (27/6 - 3/7)</v>
      </c>
      <c r="D85" s="3" t="s">
        <v>18</v>
      </c>
      <c r="E85" s="3" t="s">
        <v>17</v>
      </c>
      <c r="F85" s="3">
        <v>4</v>
      </c>
      <c r="G85" s="5">
        <v>32</v>
      </c>
    </row>
    <row r="86" spans="1:7" x14ac:dyDescent="0.25">
      <c r="A86" s="4">
        <v>46205</v>
      </c>
      <c r="B86" s="2">
        <f t="shared" si="2"/>
        <v>46205</v>
      </c>
      <c r="C86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W12 (27/6 - 3/7)</v>
      </c>
      <c r="D86" s="3" t="s">
        <v>18</v>
      </c>
      <c r="E86" s="3" t="s">
        <v>17</v>
      </c>
      <c r="F86" s="3">
        <v>4</v>
      </c>
      <c r="G86" s="5">
        <v>32</v>
      </c>
    </row>
    <row r="87" spans="1:7" x14ac:dyDescent="0.25">
      <c r="A87" s="4">
        <v>46206</v>
      </c>
      <c r="B87" s="2">
        <f t="shared" si="2"/>
        <v>46206</v>
      </c>
      <c r="C87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W12 (27/6 - 3/7)</v>
      </c>
      <c r="D87" s="3" t="s">
        <v>18</v>
      </c>
      <c r="E87" s="3" t="s">
        <v>17</v>
      </c>
      <c r="F87" s="3">
        <v>4</v>
      </c>
      <c r="G87" s="5">
        <v>32</v>
      </c>
    </row>
    <row r="88" spans="1:7" x14ac:dyDescent="0.25">
      <c r="A88" s="4">
        <v>46207</v>
      </c>
      <c r="B88" s="2">
        <f t="shared" si="2"/>
        <v>46207</v>
      </c>
      <c r="C88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W13 (4/7 - 10/7)</v>
      </c>
      <c r="D88" s="3" t="s">
        <v>18</v>
      </c>
      <c r="E88" s="3" t="s">
        <v>17</v>
      </c>
      <c r="F88" s="3">
        <v>3</v>
      </c>
      <c r="G88" s="5">
        <v>24</v>
      </c>
    </row>
    <row r="89" spans="1:7" x14ac:dyDescent="0.25">
      <c r="A89" s="4">
        <v>46208</v>
      </c>
      <c r="B89" s="2">
        <f t="shared" si="2"/>
        <v>46208</v>
      </c>
      <c r="C89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W13 (4/7 - 10/7)</v>
      </c>
      <c r="D89" s="3" t="s">
        <v>18</v>
      </c>
      <c r="E89" s="3" t="s">
        <v>17</v>
      </c>
      <c r="F89" s="3">
        <v>0</v>
      </c>
      <c r="G89" s="5">
        <v>0</v>
      </c>
    </row>
    <row r="90" spans="1:7" x14ac:dyDescent="0.25">
      <c r="A90" s="4">
        <v>46209</v>
      </c>
      <c r="B90" s="2">
        <f t="shared" si="2"/>
        <v>46209</v>
      </c>
      <c r="C90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W13 (4/7 - 10/7)</v>
      </c>
      <c r="D90" s="3" t="s">
        <v>18</v>
      </c>
      <c r="E90" s="3" t="s">
        <v>17</v>
      </c>
      <c r="F90" s="3">
        <v>4</v>
      </c>
      <c r="G90" s="5">
        <v>32</v>
      </c>
    </row>
    <row r="91" spans="1:7" x14ac:dyDescent="0.25">
      <c r="A91" s="4">
        <v>46210</v>
      </c>
      <c r="B91" s="2">
        <f t="shared" si="2"/>
        <v>46210</v>
      </c>
      <c r="C91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W13 (4/7 - 10/7)</v>
      </c>
      <c r="D91" s="3" t="s">
        <v>18</v>
      </c>
      <c r="E91" s="3" t="s">
        <v>17</v>
      </c>
      <c r="F91" s="3">
        <v>4</v>
      </c>
      <c r="G91" s="5">
        <v>32</v>
      </c>
    </row>
    <row r="92" spans="1:7" x14ac:dyDescent="0.25">
      <c r="A92" s="4">
        <v>46211</v>
      </c>
      <c r="B92" s="2">
        <f t="shared" si="2"/>
        <v>46211</v>
      </c>
      <c r="C92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W13 (4/7 - 10/7)</v>
      </c>
      <c r="D92" s="3" t="s">
        <v>18</v>
      </c>
      <c r="E92" s="3" t="s">
        <v>17</v>
      </c>
      <c r="F92" s="3">
        <v>4</v>
      </c>
      <c r="G92" s="5">
        <v>32</v>
      </c>
    </row>
    <row r="93" spans="1:7" x14ac:dyDescent="0.25">
      <c r="A93" s="4">
        <v>46212</v>
      </c>
      <c r="B93" s="2">
        <f t="shared" si="2"/>
        <v>46212</v>
      </c>
      <c r="C93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W13 (4/7 - 10/7)</v>
      </c>
      <c r="D93" s="3" t="s">
        <v>18</v>
      </c>
      <c r="E93" s="3" t="s">
        <v>17</v>
      </c>
      <c r="F93" s="3">
        <v>5</v>
      </c>
      <c r="G93" s="5">
        <v>40</v>
      </c>
    </row>
    <row r="94" spans="1:7" x14ac:dyDescent="0.25">
      <c r="A94" s="4">
        <v>46213</v>
      </c>
      <c r="B94" s="2">
        <f t="shared" si="2"/>
        <v>46213</v>
      </c>
      <c r="C94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W13 (4/7 - 10/7)</v>
      </c>
      <c r="D94" s="3" t="s">
        <v>18</v>
      </c>
      <c r="E94" s="3" t="s">
        <v>17</v>
      </c>
      <c r="F94" s="3">
        <v>5</v>
      </c>
      <c r="G94" s="5">
        <v>40</v>
      </c>
    </row>
    <row r="95" spans="1:7" x14ac:dyDescent="0.25">
      <c r="A95" s="4">
        <v>46214</v>
      </c>
      <c r="B95" s="2">
        <f t="shared" si="2"/>
        <v>46214</v>
      </c>
      <c r="C95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W14 (11/7 - 17/7)</v>
      </c>
      <c r="D95" s="3" t="s">
        <v>18</v>
      </c>
      <c r="E95" s="3" t="s">
        <v>17</v>
      </c>
      <c r="F95" s="3">
        <v>2</v>
      </c>
      <c r="G95" s="5">
        <v>16</v>
      </c>
    </row>
    <row r="96" spans="1:7" x14ac:dyDescent="0.25">
      <c r="A96" s="4">
        <v>46215</v>
      </c>
      <c r="B96" s="2">
        <f t="shared" si="2"/>
        <v>46215</v>
      </c>
      <c r="C96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W14 (11/7 - 17/7)</v>
      </c>
      <c r="D96" s="3" t="s">
        <v>18</v>
      </c>
      <c r="E96" s="3" t="s">
        <v>17</v>
      </c>
      <c r="F96" s="3">
        <v>2</v>
      </c>
      <c r="G96" s="5">
        <v>16</v>
      </c>
    </row>
    <row r="97" spans="1:7" x14ac:dyDescent="0.25">
      <c r="A97" s="4">
        <v>46216</v>
      </c>
      <c r="B97" s="2">
        <f t="shared" si="2"/>
        <v>46216</v>
      </c>
      <c r="C97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W14 (11/7 - 17/7)</v>
      </c>
      <c r="D97" s="3" t="s">
        <v>18</v>
      </c>
      <c r="E97" s="3" t="s">
        <v>17</v>
      </c>
      <c r="F97" s="3">
        <v>3</v>
      </c>
      <c r="G97" s="5">
        <v>24</v>
      </c>
    </row>
    <row r="98" spans="1:7" x14ac:dyDescent="0.25">
      <c r="A98" s="4">
        <v>46217</v>
      </c>
      <c r="B98" s="2">
        <f t="shared" si="2"/>
        <v>46217</v>
      </c>
      <c r="C98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W14 (11/7 - 17/7)</v>
      </c>
      <c r="D98" s="3" t="s">
        <v>18</v>
      </c>
      <c r="E98" s="3" t="s">
        <v>17</v>
      </c>
      <c r="F98" s="3">
        <v>5</v>
      </c>
      <c r="G98" s="5">
        <v>40</v>
      </c>
    </row>
    <row r="99" spans="1:7" x14ac:dyDescent="0.25">
      <c r="A99" s="4">
        <v>46218</v>
      </c>
      <c r="B99" s="2">
        <f t="shared" si="2"/>
        <v>46218</v>
      </c>
      <c r="C99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W14 (11/7 - 17/7)</v>
      </c>
      <c r="D99" s="3" t="s">
        <v>18</v>
      </c>
      <c r="E99" s="3" t="s">
        <v>17</v>
      </c>
      <c r="F99" s="3">
        <v>8</v>
      </c>
      <c r="G99" s="5">
        <v>64</v>
      </c>
    </row>
    <row r="100" spans="1:7" x14ac:dyDescent="0.25">
      <c r="A100" s="4">
        <v>46219</v>
      </c>
      <c r="B100" s="2">
        <f t="shared" si="2"/>
        <v>46219</v>
      </c>
      <c r="C100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W14 (11/7 - 17/7)</v>
      </c>
      <c r="D100" s="3" t="s">
        <v>18</v>
      </c>
      <c r="E100" s="3" t="s">
        <v>17</v>
      </c>
      <c r="F100" s="3">
        <v>8</v>
      </c>
      <c r="G100" s="5">
        <v>64</v>
      </c>
    </row>
    <row r="101" spans="1:7" x14ac:dyDescent="0.25">
      <c r="A101" s="4">
        <v>46220</v>
      </c>
      <c r="B101" s="2">
        <f t="shared" si="2"/>
        <v>46220</v>
      </c>
      <c r="C101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W14 (11/7 - 17/7)</v>
      </c>
      <c r="D101" s="3" t="s">
        <v>18</v>
      </c>
      <c r="E101" s="3" t="s">
        <v>17</v>
      </c>
      <c r="F101" s="3">
        <v>7</v>
      </c>
      <c r="G101" s="5">
        <v>56</v>
      </c>
    </row>
    <row r="102" spans="1:7" x14ac:dyDescent="0.25">
      <c r="A102" s="4">
        <v>46221</v>
      </c>
      <c r="B102" s="2">
        <f t="shared" ref="B102:B133" si="3">A102</f>
        <v>46221</v>
      </c>
      <c r="C102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W15 (18/7 - 24/7)</v>
      </c>
      <c r="D102" s="3" t="s">
        <v>18</v>
      </c>
      <c r="E102" s="3" t="s">
        <v>17</v>
      </c>
      <c r="F102" s="3">
        <v>6</v>
      </c>
      <c r="G102" s="5">
        <v>48</v>
      </c>
    </row>
    <row r="103" spans="1:7" x14ac:dyDescent="0.25">
      <c r="A103" s="4">
        <v>46222</v>
      </c>
      <c r="B103" s="2">
        <f t="shared" si="3"/>
        <v>46222</v>
      </c>
      <c r="C103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W15 (18/7 - 24/7)</v>
      </c>
      <c r="D103" s="3" t="s">
        <v>18</v>
      </c>
      <c r="E103" s="3" t="s">
        <v>17</v>
      </c>
      <c r="F103" s="3">
        <v>2</v>
      </c>
      <c r="G103" s="5">
        <v>16</v>
      </c>
    </row>
    <row r="104" spans="1:7" x14ac:dyDescent="0.25">
      <c r="A104" s="4">
        <v>46223</v>
      </c>
      <c r="B104" s="2">
        <f t="shared" si="3"/>
        <v>46223</v>
      </c>
      <c r="C104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W15 (18/7 - 24/7)</v>
      </c>
      <c r="D104" s="3" t="s">
        <v>18</v>
      </c>
      <c r="E104" s="3" t="s">
        <v>17</v>
      </c>
      <c r="F104" s="3">
        <v>6</v>
      </c>
      <c r="G104" s="5">
        <v>48</v>
      </c>
    </row>
    <row r="105" spans="1:7" x14ac:dyDescent="0.25">
      <c r="A105" s="4">
        <v>46224</v>
      </c>
      <c r="B105" s="2">
        <f t="shared" si="3"/>
        <v>46224</v>
      </c>
      <c r="C105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W15 (18/7 - 24/7)</v>
      </c>
      <c r="D105" s="3" t="s">
        <v>18</v>
      </c>
      <c r="E105" s="3" t="s">
        <v>17</v>
      </c>
      <c r="F105" s="3">
        <v>6</v>
      </c>
      <c r="G105" s="5">
        <v>48</v>
      </c>
    </row>
    <row r="106" spans="1:7" x14ac:dyDescent="0.25">
      <c r="A106" s="4">
        <v>46225</v>
      </c>
      <c r="B106" s="2">
        <f t="shared" si="3"/>
        <v>46225</v>
      </c>
      <c r="C106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W15 (18/7 - 24/7)</v>
      </c>
      <c r="D106" s="3" t="s">
        <v>18</v>
      </c>
      <c r="E106" s="3" t="s">
        <v>17</v>
      </c>
      <c r="F106" s="3">
        <v>7</v>
      </c>
      <c r="G106" s="5">
        <v>56</v>
      </c>
    </row>
    <row r="107" spans="1:7" x14ac:dyDescent="0.25">
      <c r="A107" s="4">
        <v>46226</v>
      </c>
      <c r="B107" s="2">
        <f t="shared" si="3"/>
        <v>46226</v>
      </c>
      <c r="C107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W15 (18/7 - 24/7)</v>
      </c>
      <c r="D107" s="3" t="s">
        <v>18</v>
      </c>
      <c r="E107" s="3" t="s">
        <v>17</v>
      </c>
      <c r="F107" s="3">
        <v>8</v>
      </c>
      <c r="G107" s="5">
        <v>64</v>
      </c>
    </row>
    <row r="108" spans="1:7" x14ac:dyDescent="0.25">
      <c r="A108" s="4">
        <v>46227</v>
      </c>
      <c r="B108" s="2">
        <f t="shared" si="3"/>
        <v>46227</v>
      </c>
      <c r="C108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W15 (18/7 - 24/7)</v>
      </c>
      <c r="D108" s="3" t="s">
        <v>18</v>
      </c>
      <c r="E108" s="3" t="s">
        <v>17</v>
      </c>
      <c r="F108" s="3">
        <v>8</v>
      </c>
      <c r="G108" s="5">
        <v>64</v>
      </c>
    </row>
    <row r="109" spans="1:7" x14ac:dyDescent="0.25">
      <c r="A109" s="4">
        <v>46228</v>
      </c>
      <c r="B109" s="2">
        <f t="shared" si="3"/>
        <v>46228</v>
      </c>
      <c r="C109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W16 (25/7 - 31/7)</v>
      </c>
      <c r="D109" s="3" t="s">
        <v>18</v>
      </c>
      <c r="E109" s="3" t="s">
        <v>17</v>
      </c>
      <c r="F109" s="3">
        <v>8</v>
      </c>
      <c r="G109" s="5">
        <v>64</v>
      </c>
    </row>
    <row r="110" spans="1:7" x14ac:dyDescent="0.25">
      <c r="A110" s="4">
        <v>46229</v>
      </c>
      <c r="B110" s="2">
        <f t="shared" si="3"/>
        <v>46229</v>
      </c>
      <c r="C110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W16 (25/7 - 31/7)</v>
      </c>
      <c r="D110" s="3" t="s">
        <v>18</v>
      </c>
      <c r="E110" s="3" t="s">
        <v>17</v>
      </c>
      <c r="F110" s="3">
        <v>5</v>
      </c>
      <c r="G110" s="5">
        <v>40</v>
      </c>
    </row>
    <row r="111" spans="1:7" x14ac:dyDescent="0.25">
      <c r="A111" s="4">
        <v>46230</v>
      </c>
      <c r="B111" s="2">
        <f t="shared" si="3"/>
        <v>46230</v>
      </c>
      <c r="C111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W16 (25/7 - 31/7)</v>
      </c>
      <c r="D111" s="3" t="s">
        <v>18</v>
      </c>
      <c r="E111" s="3" t="s">
        <v>17</v>
      </c>
      <c r="F111" s="3">
        <v>8</v>
      </c>
      <c r="G111" s="5">
        <v>64</v>
      </c>
    </row>
    <row r="112" spans="1:7" x14ac:dyDescent="0.25">
      <c r="A112" s="4">
        <v>46231</v>
      </c>
      <c r="B112" s="2">
        <f t="shared" si="3"/>
        <v>46231</v>
      </c>
      <c r="C112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W16 (25/7 - 31/7)</v>
      </c>
      <c r="D112" s="3" t="s">
        <v>18</v>
      </c>
      <c r="E112" s="3" t="s">
        <v>17</v>
      </c>
      <c r="F112" s="3">
        <v>8</v>
      </c>
      <c r="G112" s="5">
        <v>64</v>
      </c>
    </row>
    <row r="113" spans="1:7" x14ac:dyDescent="0.25">
      <c r="A113" s="4">
        <v>46232</v>
      </c>
      <c r="B113" s="2">
        <f t="shared" si="3"/>
        <v>46232</v>
      </c>
      <c r="C113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W16 (25/7 - 31/7)</v>
      </c>
      <c r="D113" s="3" t="s">
        <v>18</v>
      </c>
      <c r="E113" s="3" t="s">
        <v>17</v>
      </c>
      <c r="F113" s="3">
        <v>7</v>
      </c>
      <c r="G113" s="5">
        <v>56</v>
      </c>
    </row>
    <row r="114" spans="1:7" x14ac:dyDescent="0.25">
      <c r="A114" s="4">
        <v>46233</v>
      </c>
      <c r="B114" s="2">
        <f t="shared" si="3"/>
        <v>46233</v>
      </c>
      <c r="C114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W16 (25/7 - 31/7)</v>
      </c>
      <c r="D114" s="3" t="s">
        <v>18</v>
      </c>
      <c r="E114" s="3" t="s">
        <v>17</v>
      </c>
      <c r="F114" s="3">
        <v>8</v>
      </c>
      <c r="G114" s="5">
        <v>64</v>
      </c>
    </row>
    <row r="115" spans="1:7" x14ac:dyDescent="0.25">
      <c r="A115" s="9">
        <v>46234</v>
      </c>
      <c r="B115" s="10">
        <f t="shared" si="3"/>
        <v>46234</v>
      </c>
      <c r="C115" s="11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W16 (25/7 - 31/7)</v>
      </c>
      <c r="D115" s="3" t="s">
        <v>18</v>
      </c>
      <c r="E115" s="11" t="s">
        <v>17</v>
      </c>
      <c r="F115" s="11">
        <v>6</v>
      </c>
      <c r="G115" s="12">
        <v>48</v>
      </c>
    </row>
    <row r="116" spans="1:7" x14ac:dyDescent="0.25">
      <c r="A116" s="4">
        <v>46235</v>
      </c>
      <c r="B116" s="2">
        <f t="shared" si="3"/>
        <v>46235</v>
      </c>
      <c r="C116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W17 (1/8 - 7/8)</v>
      </c>
      <c r="D116" s="3" t="s">
        <v>18</v>
      </c>
      <c r="E116" s="11" t="s">
        <v>17</v>
      </c>
      <c r="F116" s="3">
        <v>7</v>
      </c>
      <c r="G116" s="5">
        <v>56</v>
      </c>
    </row>
    <row r="117" spans="1:7" x14ac:dyDescent="0.25">
      <c r="A117" s="4">
        <v>46236</v>
      </c>
      <c r="B117" s="2">
        <f t="shared" si="3"/>
        <v>46236</v>
      </c>
      <c r="C117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W17 (1/8 - 7/8)</v>
      </c>
      <c r="D117" s="3" t="s">
        <v>18</v>
      </c>
      <c r="E117" s="11" t="s">
        <v>17</v>
      </c>
      <c r="F117" s="3">
        <v>3</v>
      </c>
      <c r="G117" s="5">
        <v>24</v>
      </c>
    </row>
    <row r="118" spans="1:7" x14ac:dyDescent="0.25">
      <c r="A118" s="4">
        <v>46237</v>
      </c>
      <c r="B118" s="10">
        <f t="shared" si="3"/>
        <v>46237</v>
      </c>
      <c r="C118" s="11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W17 (1/8 - 7/8)</v>
      </c>
      <c r="D118" s="3" t="s">
        <v>18</v>
      </c>
      <c r="E118" s="11" t="s">
        <v>17</v>
      </c>
      <c r="F118" s="11">
        <v>8</v>
      </c>
      <c r="G118" s="12">
        <v>64</v>
      </c>
    </row>
    <row r="119" spans="1:7" x14ac:dyDescent="0.25">
      <c r="A119" s="4">
        <v>46238</v>
      </c>
      <c r="B119" s="2">
        <f t="shared" si="3"/>
        <v>46238</v>
      </c>
      <c r="C119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W17 (1/8 - 7/8)</v>
      </c>
      <c r="D119" s="3" t="s">
        <v>18</v>
      </c>
      <c r="E119" s="11" t="s">
        <v>17</v>
      </c>
      <c r="F119" s="3">
        <v>10</v>
      </c>
      <c r="G119" s="5">
        <v>80</v>
      </c>
    </row>
    <row r="120" spans="1:7" x14ac:dyDescent="0.25">
      <c r="A120" s="4">
        <v>46239</v>
      </c>
      <c r="B120" s="2">
        <f t="shared" si="3"/>
        <v>46239</v>
      </c>
      <c r="C120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W17 (1/8 - 7/8)</v>
      </c>
      <c r="D120" s="3" t="s">
        <v>18</v>
      </c>
      <c r="E120" s="11" t="s">
        <v>17</v>
      </c>
      <c r="F120" s="3">
        <v>10</v>
      </c>
      <c r="G120" s="5">
        <v>80</v>
      </c>
    </row>
    <row r="121" spans="1:7" x14ac:dyDescent="0.25">
      <c r="A121" s="9">
        <v>46240</v>
      </c>
      <c r="B121" s="2">
        <f t="shared" si="3"/>
        <v>46240</v>
      </c>
      <c r="C121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W17 (1/8 - 7/8)</v>
      </c>
      <c r="D121" s="3" t="s">
        <v>18</v>
      </c>
      <c r="E121" s="11" t="s">
        <v>17</v>
      </c>
      <c r="F121" s="3">
        <v>10</v>
      </c>
      <c r="G121" s="5">
        <v>80</v>
      </c>
    </row>
    <row r="122" spans="1:7" x14ac:dyDescent="0.25">
      <c r="A122" s="4">
        <v>46241</v>
      </c>
      <c r="B122" s="2">
        <f t="shared" si="3"/>
        <v>46241</v>
      </c>
      <c r="C122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W17 (1/8 - 7/8)</v>
      </c>
      <c r="D122" s="3" t="s">
        <v>18</v>
      </c>
      <c r="E122" s="11" t="s">
        <v>17</v>
      </c>
      <c r="F122" s="3">
        <v>10</v>
      </c>
      <c r="G122" s="5">
        <v>80</v>
      </c>
    </row>
    <row r="123" spans="1:7" x14ac:dyDescent="0.25">
      <c r="A123" s="4">
        <v>46242</v>
      </c>
      <c r="B123" s="2">
        <f t="shared" si="3"/>
        <v>46242</v>
      </c>
      <c r="C123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W18 (8/8 - 14/8)</v>
      </c>
      <c r="D123" s="3" t="s">
        <v>18</v>
      </c>
      <c r="E123" s="11" t="s">
        <v>17</v>
      </c>
      <c r="F123" s="3">
        <v>10</v>
      </c>
      <c r="G123" s="5">
        <v>80</v>
      </c>
    </row>
    <row r="124" spans="1:7" x14ac:dyDescent="0.25">
      <c r="A124" s="4">
        <v>46243</v>
      </c>
      <c r="B124" s="10">
        <f t="shared" si="3"/>
        <v>46243</v>
      </c>
      <c r="C124" s="11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W18 (8/8 - 14/8)</v>
      </c>
      <c r="D124" s="3" t="s">
        <v>18</v>
      </c>
      <c r="E124" s="11" t="s">
        <v>17</v>
      </c>
      <c r="F124" s="11">
        <v>3</v>
      </c>
      <c r="G124" s="12">
        <v>24</v>
      </c>
    </row>
    <row r="125" spans="1:7" x14ac:dyDescent="0.25">
      <c r="A125" s="4">
        <v>46244</v>
      </c>
      <c r="B125" s="2">
        <f t="shared" si="3"/>
        <v>46244</v>
      </c>
      <c r="C125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W18 (8/8 - 14/8)</v>
      </c>
      <c r="D125" s="3" t="s">
        <v>18</v>
      </c>
      <c r="E125" s="11" t="s">
        <v>17</v>
      </c>
      <c r="F125" s="3">
        <v>9</v>
      </c>
      <c r="G125" s="5">
        <v>72</v>
      </c>
    </row>
    <row r="126" spans="1:7" x14ac:dyDescent="0.25">
      <c r="A126" s="4">
        <v>46245</v>
      </c>
      <c r="B126" s="2">
        <f t="shared" si="3"/>
        <v>46245</v>
      </c>
      <c r="C126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W18 (8/8 - 14/8)</v>
      </c>
      <c r="D126" s="3" t="s">
        <v>18</v>
      </c>
      <c r="E126" s="11" t="s">
        <v>17</v>
      </c>
      <c r="F126" s="3">
        <v>10</v>
      </c>
      <c r="G126" s="5">
        <v>80</v>
      </c>
    </row>
    <row r="127" spans="1:7" x14ac:dyDescent="0.25">
      <c r="A127" s="4">
        <v>46246</v>
      </c>
      <c r="B127" s="2">
        <f t="shared" si="3"/>
        <v>46246</v>
      </c>
      <c r="C127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W18 (8/8 - 14/8)</v>
      </c>
      <c r="D127" s="3" t="s">
        <v>18</v>
      </c>
      <c r="E127" s="11" t="s">
        <v>17</v>
      </c>
      <c r="F127" s="3">
        <v>10</v>
      </c>
      <c r="G127" s="5">
        <v>80</v>
      </c>
    </row>
    <row r="128" spans="1:7" x14ac:dyDescent="0.25">
      <c r="A128" s="4">
        <v>46247</v>
      </c>
      <c r="B128" s="2">
        <f t="shared" si="3"/>
        <v>46247</v>
      </c>
      <c r="C128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W18 (8/8 - 14/8)</v>
      </c>
      <c r="D128" s="3" t="s">
        <v>18</v>
      </c>
      <c r="E128" s="11" t="s">
        <v>17</v>
      </c>
      <c r="F128" s="3">
        <v>10</v>
      </c>
      <c r="G128" s="5">
        <v>80</v>
      </c>
    </row>
    <row r="129" spans="1:7" x14ac:dyDescent="0.25">
      <c r="A129" s="4">
        <v>46248</v>
      </c>
      <c r="B129" s="2">
        <f t="shared" si="3"/>
        <v>46248</v>
      </c>
      <c r="C129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W18 (8/8 - 14/8)</v>
      </c>
      <c r="D129" s="3" t="s">
        <v>18</v>
      </c>
      <c r="E129" s="11" t="s">
        <v>17</v>
      </c>
      <c r="F129" s="3">
        <v>10</v>
      </c>
      <c r="G129" s="5">
        <v>80</v>
      </c>
    </row>
    <row r="130" spans="1:7" x14ac:dyDescent="0.25">
      <c r="A130" s="4">
        <v>46249</v>
      </c>
      <c r="B130" s="2">
        <f t="shared" si="3"/>
        <v>46249</v>
      </c>
      <c r="C130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W19 (15/8 - 21/8)</v>
      </c>
      <c r="D130" s="3" t="s">
        <v>18</v>
      </c>
      <c r="E130" s="11" t="s">
        <v>17</v>
      </c>
      <c r="F130" s="3">
        <v>6</v>
      </c>
      <c r="G130" s="5">
        <v>48</v>
      </c>
    </row>
    <row r="131" spans="1:7" x14ac:dyDescent="0.25">
      <c r="A131" s="4">
        <v>46250</v>
      </c>
      <c r="B131" s="2">
        <f t="shared" si="3"/>
        <v>46250</v>
      </c>
      <c r="C131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W19 (15/8 - 21/8)</v>
      </c>
      <c r="D131" s="3" t="s">
        <v>18</v>
      </c>
      <c r="E131" s="11" t="s">
        <v>17</v>
      </c>
      <c r="F131" s="3">
        <v>3</v>
      </c>
      <c r="G131" s="5">
        <v>24</v>
      </c>
    </row>
    <row r="132" spans="1:7" x14ac:dyDescent="0.25">
      <c r="A132" s="4">
        <v>46251</v>
      </c>
      <c r="B132" s="2">
        <f t="shared" si="3"/>
        <v>46251</v>
      </c>
      <c r="C132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W19 (15/8 - 21/8)</v>
      </c>
      <c r="D132" s="3" t="s">
        <v>18</v>
      </c>
      <c r="E132" s="11" t="s">
        <v>17</v>
      </c>
      <c r="F132" s="3">
        <v>10</v>
      </c>
      <c r="G132" s="5">
        <v>80</v>
      </c>
    </row>
    <row r="133" spans="1:7" x14ac:dyDescent="0.25">
      <c r="A133" s="4">
        <v>46252</v>
      </c>
      <c r="B133" s="2">
        <f t="shared" si="3"/>
        <v>46252</v>
      </c>
      <c r="C133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W19 (15/8 - 21/8)</v>
      </c>
      <c r="D133" s="3" t="s">
        <v>18</v>
      </c>
      <c r="E133" s="11" t="s">
        <v>17</v>
      </c>
      <c r="F133" s="3">
        <v>10</v>
      </c>
      <c r="G133" s="5">
        <v>80</v>
      </c>
    </row>
    <row r="134" spans="1:7" x14ac:dyDescent="0.25">
      <c r="A134" s="4">
        <v>46253</v>
      </c>
      <c r="B134" s="2">
        <f t="shared" ref="B134:B165" si="4">A134</f>
        <v>46253</v>
      </c>
      <c r="C134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W19 (15/8 - 21/8)</v>
      </c>
      <c r="D134" s="3" t="s">
        <v>18</v>
      </c>
      <c r="E134" s="11" t="s">
        <v>17</v>
      </c>
      <c r="F134" s="3">
        <v>10</v>
      </c>
      <c r="G134" s="5">
        <v>80</v>
      </c>
    </row>
    <row r="135" spans="1:7" x14ac:dyDescent="0.25">
      <c r="A135" s="4">
        <v>46254</v>
      </c>
      <c r="B135" s="2">
        <f t="shared" si="4"/>
        <v>46254</v>
      </c>
      <c r="C135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W19 (15/8 - 21/8)</v>
      </c>
      <c r="D135" s="3" t="s">
        <v>18</v>
      </c>
      <c r="E135" s="11" t="s">
        <v>17</v>
      </c>
      <c r="F135" s="3">
        <v>8</v>
      </c>
      <c r="G135" s="5">
        <v>64</v>
      </c>
    </row>
    <row r="136" spans="1:7" x14ac:dyDescent="0.25">
      <c r="A136" s="4">
        <v>46255</v>
      </c>
      <c r="B136" s="2">
        <f t="shared" si="4"/>
        <v>46255</v>
      </c>
      <c r="C136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W19 (15/8 - 21/8)</v>
      </c>
      <c r="D136" s="3" t="s">
        <v>18</v>
      </c>
      <c r="E136" s="11" t="s">
        <v>17</v>
      </c>
      <c r="F136" s="3">
        <v>8</v>
      </c>
      <c r="G136" s="5">
        <v>64</v>
      </c>
    </row>
    <row r="137" spans="1:7" x14ac:dyDescent="0.25">
      <c r="A137" s="4">
        <v>46256</v>
      </c>
      <c r="B137" s="2">
        <f t="shared" si="4"/>
        <v>46256</v>
      </c>
      <c r="C137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W20 (22/8 - 28/8)</v>
      </c>
      <c r="D137" s="3" t="s">
        <v>18</v>
      </c>
      <c r="E137" s="11" t="s">
        <v>17</v>
      </c>
      <c r="F137" s="3">
        <v>10</v>
      </c>
      <c r="G137" s="5">
        <v>80</v>
      </c>
    </row>
    <row r="138" spans="1:7" x14ac:dyDescent="0.25">
      <c r="A138" s="4">
        <v>46257</v>
      </c>
      <c r="B138" s="2">
        <f t="shared" si="4"/>
        <v>46257</v>
      </c>
      <c r="C138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W20 (22/8 - 28/8)</v>
      </c>
      <c r="D138" s="3" t="s">
        <v>18</v>
      </c>
      <c r="E138" s="11" t="s">
        <v>17</v>
      </c>
      <c r="F138" s="3">
        <v>8</v>
      </c>
      <c r="G138" s="5">
        <v>64</v>
      </c>
    </row>
    <row r="139" spans="1:7" x14ac:dyDescent="0.25">
      <c r="A139" s="4">
        <v>46258</v>
      </c>
      <c r="B139" s="2">
        <f t="shared" si="4"/>
        <v>46258</v>
      </c>
      <c r="C139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W20 (22/8 - 28/8)</v>
      </c>
      <c r="D139" s="3" t="s">
        <v>18</v>
      </c>
      <c r="E139" s="11" t="s">
        <v>17</v>
      </c>
      <c r="F139" s="3">
        <v>10</v>
      </c>
      <c r="G139" s="5">
        <v>80</v>
      </c>
    </row>
    <row r="140" spans="1:7" x14ac:dyDescent="0.25">
      <c r="A140" s="4">
        <v>46259</v>
      </c>
      <c r="B140" s="10">
        <f t="shared" si="4"/>
        <v>46259</v>
      </c>
      <c r="C140" s="11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W20 (22/8 - 28/8)</v>
      </c>
      <c r="D140" s="3" t="s">
        <v>18</v>
      </c>
      <c r="E140" s="11" t="s">
        <v>17</v>
      </c>
      <c r="F140" s="11">
        <v>2</v>
      </c>
      <c r="G140" s="12">
        <v>16</v>
      </c>
    </row>
    <row r="141" spans="1:7" x14ac:dyDescent="0.25">
      <c r="A141" s="4">
        <v>46260</v>
      </c>
      <c r="B141" s="2">
        <f t="shared" si="4"/>
        <v>46260</v>
      </c>
      <c r="C141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W20 (22/8 - 28/8)</v>
      </c>
      <c r="D141" s="3" t="s">
        <v>18</v>
      </c>
      <c r="E141" s="11" t="s">
        <v>17</v>
      </c>
      <c r="F141" s="3">
        <v>10</v>
      </c>
      <c r="G141" s="5">
        <v>80</v>
      </c>
    </row>
    <row r="142" spans="1:7" x14ac:dyDescent="0.25">
      <c r="A142" s="4">
        <v>46261</v>
      </c>
      <c r="B142" s="2">
        <f t="shared" si="4"/>
        <v>46261</v>
      </c>
      <c r="C142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W20 (22/8 - 28/8)</v>
      </c>
      <c r="D142" s="3" t="s">
        <v>18</v>
      </c>
      <c r="E142" s="11" t="s">
        <v>17</v>
      </c>
      <c r="F142" s="3">
        <v>10</v>
      </c>
      <c r="G142" s="5">
        <v>80</v>
      </c>
    </row>
    <row r="143" spans="1:7" x14ac:dyDescent="0.25">
      <c r="A143" s="4">
        <v>46262</v>
      </c>
      <c r="B143" s="2">
        <f t="shared" si="4"/>
        <v>46262</v>
      </c>
      <c r="C143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W20 (22/8 - 28/8)</v>
      </c>
      <c r="D143" s="3" t="s">
        <v>18</v>
      </c>
      <c r="E143" s="11" t="s">
        <v>17</v>
      </c>
      <c r="F143" s="3">
        <v>9</v>
      </c>
      <c r="G143" s="5">
        <v>72</v>
      </c>
    </row>
    <row r="144" spans="1:7" x14ac:dyDescent="0.25">
      <c r="A144" s="4">
        <v>46263</v>
      </c>
      <c r="B144" s="2">
        <f t="shared" si="4"/>
        <v>46263</v>
      </c>
      <c r="C144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W21 (29/8 - 4/9)</v>
      </c>
      <c r="D144" s="3" t="s">
        <v>18</v>
      </c>
      <c r="E144" s="11" t="s">
        <v>17</v>
      </c>
      <c r="F144" s="3">
        <v>8</v>
      </c>
      <c r="G144" s="5">
        <v>64</v>
      </c>
    </row>
    <row r="145" spans="1:7" x14ac:dyDescent="0.25">
      <c r="A145" s="4">
        <v>46264</v>
      </c>
      <c r="B145" s="10">
        <f t="shared" si="4"/>
        <v>46264</v>
      </c>
      <c r="C145" s="11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W21 (29/8 - 4/9)</v>
      </c>
      <c r="D145" s="3" t="s">
        <v>18</v>
      </c>
      <c r="E145" s="11" t="s">
        <v>17</v>
      </c>
      <c r="F145" s="11">
        <v>3</v>
      </c>
      <c r="G145" s="12">
        <v>24</v>
      </c>
    </row>
    <row r="146" spans="1:7" x14ac:dyDescent="0.25">
      <c r="A146" s="4">
        <v>46265</v>
      </c>
      <c r="B146" s="2">
        <f t="shared" si="4"/>
        <v>46265</v>
      </c>
      <c r="C146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W21 (29/8 - 4/9)</v>
      </c>
      <c r="D146" s="3" t="s">
        <v>18</v>
      </c>
      <c r="E146" s="11" t="s">
        <v>17</v>
      </c>
      <c r="F146" s="3">
        <v>0</v>
      </c>
      <c r="G146" s="5">
        <v>0</v>
      </c>
    </row>
    <row r="147" spans="1:7" x14ac:dyDescent="0.25">
      <c r="A147" s="4">
        <v>46266</v>
      </c>
      <c r="B147" s="2">
        <f t="shared" si="4"/>
        <v>46266</v>
      </c>
      <c r="C147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W21 (29/8 - 4/9)</v>
      </c>
      <c r="D147" s="3" t="s">
        <v>18</v>
      </c>
      <c r="E147" s="11" t="s">
        <v>17</v>
      </c>
      <c r="F147" s="3">
        <v>13</v>
      </c>
      <c r="G147" s="5">
        <v>104</v>
      </c>
    </row>
    <row r="148" spans="1:7" x14ac:dyDescent="0.25">
      <c r="A148" s="4">
        <v>46267</v>
      </c>
      <c r="B148" s="2">
        <f t="shared" si="4"/>
        <v>46267</v>
      </c>
      <c r="C148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W21 (29/8 - 4/9)</v>
      </c>
      <c r="D148" s="3" t="s">
        <v>18</v>
      </c>
      <c r="E148" s="11" t="s">
        <v>17</v>
      </c>
      <c r="F148" s="3">
        <v>14</v>
      </c>
      <c r="G148" s="5">
        <v>112</v>
      </c>
    </row>
    <row r="149" spans="1:7" x14ac:dyDescent="0.25">
      <c r="A149" s="4">
        <v>46268</v>
      </c>
      <c r="B149" s="2">
        <f t="shared" si="4"/>
        <v>46268</v>
      </c>
      <c r="C149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W21 (29/8 - 4/9)</v>
      </c>
      <c r="D149" s="3" t="s">
        <v>18</v>
      </c>
      <c r="E149" s="11" t="s">
        <v>17</v>
      </c>
      <c r="F149" s="3">
        <v>13</v>
      </c>
      <c r="G149" s="5">
        <v>104</v>
      </c>
    </row>
    <row r="150" spans="1:7" x14ac:dyDescent="0.25">
      <c r="A150" s="4">
        <v>46269</v>
      </c>
      <c r="B150" s="2">
        <f t="shared" si="4"/>
        <v>46269</v>
      </c>
      <c r="C150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W21 (29/8 - 4/9)</v>
      </c>
      <c r="D150" s="3" t="s">
        <v>18</v>
      </c>
      <c r="E150" s="11" t="s">
        <v>17</v>
      </c>
      <c r="F150" s="3">
        <v>13</v>
      </c>
      <c r="G150" s="5">
        <v>104</v>
      </c>
    </row>
    <row r="151" spans="1:7" x14ac:dyDescent="0.25">
      <c r="A151" s="4">
        <v>46270</v>
      </c>
      <c r="B151" s="2">
        <f t="shared" si="4"/>
        <v>46270</v>
      </c>
      <c r="C151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W22 (5/9 - 11/9)</v>
      </c>
      <c r="D151" s="3" t="s">
        <v>18</v>
      </c>
      <c r="E151" s="11" t="s">
        <v>17</v>
      </c>
      <c r="F151" s="3">
        <v>11</v>
      </c>
      <c r="G151" s="5">
        <v>88</v>
      </c>
    </row>
    <row r="152" spans="1:7" x14ac:dyDescent="0.25">
      <c r="A152" s="4">
        <v>46271</v>
      </c>
      <c r="B152" s="2">
        <f t="shared" si="4"/>
        <v>46271</v>
      </c>
      <c r="C152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W22 (5/9 - 11/9)</v>
      </c>
      <c r="D152" s="3" t="s">
        <v>18</v>
      </c>
      <c r="E152" s="11" t="s">
        <v>17</v>
      </c>
      <c r="F152" s="3">
        <v>1</v>
      </c>
      <c r="G152" s="5">
        <v>8</v>
      </c>
    </row>
    <row r="153" spans="1:7" x14ac:dyDescent="0.25">
      <c r="A153" s="4">
        <v>46272</v>
      </c>
      <c r="B153" s="2">
        <f t="shared" si="4"/>
        <v>46272</v>
      </c>
      <c r="C153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W22 (5/9 - 11/9)</v>
      </c>
      <c r="D153" s="3" t="s">
        <v>18</v>
      </c>
      <c r="E153" s="11" t="s">
        <v>17</v>
      </c>
      <c r="F153" s="3">
        <v>14</v>
      </c>
      <c r="G153" s="5">
        <v>112</v>
      </c>
    </row>
    <row r="154" spans="1:7" x14ac:dyDescent="0.25">
      <c r="A154" s="4">
        <v>46273</v>
      </c>
      <c r="B154" s="2">
        <f t="shared" si="4"/>
        <v>46273</v>
      </c>
      <c r="C154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W22 (5/9 - 11/9)</v>
      </c>
      <c r="D154" s="3" t="s">
        <v>18</v>
      </c>
      <c r="E154" s="11" t="s">
        <v>17</v>
      </c>
      <c r="F154" s="3">
        <v>14</v>
      </c>
      <c r="G154" s="5">
        <v>112</v>
      </c>
    </row>
    <row r="155" spans="1:7" x14ac:dyDescent="0.25">
      <c r="A155" s="4">
        <v>46274</v>
      </c>
      <c r="B155" s="2">
        <f t="shared" si="4"/>
        <v>46274</v>
      </c>
      <c r="C155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W22 (5/9 - 11/9)</v>
      </c>
      <c r="D155" s="3" t="s">
        <v>18</v>
      </c>
      <c r="E155" s="11" t="s">
        <v>17</v>
      </c>
      <c r="F155" s="3">
        <v>14</v>
      </c>
      <c r="G155" s="5">
        <v>112</v>
      </c>
    </row>
    <row r="156" spans="1:7" x14ac:dyDescent="0.25">
      <c r="A156" s="4">
        <v>46275</v>
      </c>
      <c r="B156" s="2">
        <f t="shared" si="4"/>
        <v>46275</v>
      </c>
      <c r="C156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W22 (5/9 - 11/9)</v>
      </c>
      <c r="D156" s="3" t="s">
        <v>18</v>
      </c>
      <c r="E156" s="11" t="s">
        <v>17</v>
      </c>
      <c r="F156" s="3">
        <v>14</v>
      </c>
      <c r="G156" s="5">
        <v>112</v>
      </c>
    </row>
    <row r="157" spans="1:7" x14ac:dyDescent="0.25">
      <c r="A157" s="4">
        <v>46276</v>
      </c>
      <c r="B157" s="2">
        <f t="shared" si="4"/>
        <v>46276</v>
      </c>
      <c r="C157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W22 (5/9 - 11/9)</v>
      </c>
      <c r="D157" s="3" t="s">
        <v>18</v>
      </c>
      <c r="E157" s="11" t="s">
        <v>17</v>
      </c>
      <c r="F157" s="3">
        <v>14</v>
      </c>
      <c r="G157" s="5">
        <v>112</v>
      </c>
    </row>
    <row r="158" spans="1:7" x14ac:dyDescent="0.25">
      <c r="A158" s="4">
        <v>46277</v>
      </c>
      <c r="B158" s="2">
        <f t="shared" si="4"/>
        <v>46277</v>
      </c>
      <c r="C158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W23 (12/9 - 18/9)</v>
      </c>
      <c r="D158" s="3" t="s">
        <v>18</v>
      </c>
      <c r="E158" s="11" t="s">
        <v>17</v>
      </c>
      <c r="F158" s="3">
        <v>14</v>
      </c>
      <c r="G158" s="5">
        <v>112</v>
      </c>
    </row>
    <row r="159" spans="1:7" x14ac:dyDescent="0.25">
      <c r="A159" s="4">
        <v>46278</v>
      </c>
      <c r="B159" s="2">
        <f t="shared" si="4"/>
        <v>46278</v>
      </c>
      <c r="C159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W23 (12/9 - 18/9)</v>
      </c>
      <c r="D159" s="3" t="s">
        <v>18</v>
      </c>
      <c r="E159" s="11" t="s">
        <v>17</v>
      </c>
      <c r="F159" s="3">
        <v>5</v>
      </c>
      <c r="G159" s="5">
        <v>40</v>
      </c>
    </row>
    <row r="160" spans="1:7" x14ac:dyDescent="0.25">
      <c r="A160" s="4">
        <v>46279</v>
      </c>
      <c r="B160" s="2">
        <f t="shared" si="4"/>
        <v>46279</v>
      </c>
      <c r="C160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W23 (12/9 - 18/9)</v>
      </c>
      <c r="D160" s="3" t="s">
        <v>18</v>
      </c>
      <c r="E160" s="11" t="s">
        <v>17</v>
      </c>
      <c r="F160" s="3">
        <v>14</v>
      </c>
      <c r="G160" s="5">
        <v>112</v>
      </c>
    </row>
    <row r="161" spans="1:7" x14ac:dyDescent="0.25">
      <c r="A161" s="4">
        <v>46280</v>
      </c>
      <c r="B161" s="2">
        <f t="shared" si="4"/>
        <v>46280</v>
      </c>
      <c r="C161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W23 (12/9 - 18/9)</v>
      </c>
      <c r="D161" s="3" t="s">
        <v>18</v>
      </c>
      <c r="E161" s="11" t="s">
        <v>17</v>
      </c>
      <c r="F161" s="3">
        <v>14</v>
      </c>
      <c r="G161" s="5">
        <v>112</v>
      </c>
    </row>
    <row r="162" spans="1:7" x14ac:dyDescent="0.25">
      <c r="A162" s="4">
        <v>46281</v>
      </c>
      <c r="B162" s="2">
        <f t="shared" si="4"/>
        <v>46281</v>
      </c>
      <c r="C162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W23 (12/9 - 18/9)</v>
      </c>
      <c r="D162" s="3" t="s">
        <v>18</v>
      </c>
      <c r="E162" s="11" t="s">
        <v>17</v>
      </c>
      <c r="F162" s="3">
        <v>7</v>
      </c>
      <c r="G162" s="5">
        <v>56</v>
      </c>
    </row>
    <row r="163" spans="1:7" x14ac:dyDescent="0.25">
      <c r="A163" s="4">
        <v>46282</v>
      </c>
      <c r="B163" s="2">
        <f t="shared" si="4"/>
        <v>46282</v>
      </c>
      <c r="C163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W23 (12/9 - 18/9)</v>
      </c>
      <c r="D163" s="3" t="s">
        <v>18</v>
      </c>
      <c r="E163" s="11" t="s">
        <v>17</v>
      </c>
      <c r="F163" s="3">
        <v>14</v>
      </c>
      <c r="G163" s="5">
        <v>112</v>
      </c>
    </row>
    <row r="164" spans="1:7" x14ac:dyDescent="0.25">
      <c r="A164" s="4">
        <v>46283</v>
      </c>
      <c r="B164" s="2">
        <f t="shared" si="4"/>
        <v>46283</v>
      </c>
      <c r="C164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W23 (12/9 - 18/9)</v>
      </c>
      <c r="D164" s="3" t="s">
        <v>18</v>
      </c>
      <c r="E164" s="11" t="s">
        <v>17</v>
      </c>
      <c r="F164" s="3">
        <v>14</v>
      </c>
      <c r="G164" s="5">
        <v>112</v>
      </c>
    </row>
    <row r="165" spans="1:7" x14ac:dyDescent="0.25">
      <c r="A165" s="4">
        <v>46284</v>
      </c>
      <c r="B165" s="2">
        <f t="shared" si="4"/>
        <v>46284</v>
      </c>
      <c r="C165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W24 (19/9 - 25/9)</v>
      </c>
      <c r="D165" s="3" t="s">
        <v>18</v>
      </c>
      <c r="E165" s="11" t="s">
        <v>17</v>
      </c>
      <c r="F165" s="3">
        <v>14</v>
      </c>
      <c r="G165" s="5">
        <v>112</v>
      </c>
    </row>
    <row r="166" spans="1:7" x14ac:dyDescent="0.25">
      <c r="A166" s="4">
        <v>46285</v>
      </c>
      <c r="B166" s="2">
        <f t="shared" ref="B166:B197" si="5">A166</f>
        <v>46285</v>
      </c>
      <c r="C166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W24 (19/9 - 25/9)</v>
      </c>
      <c r="D166" s="3" t="s">
        <v>18</v>
      </c>
      <c r="E166" s="11" t="s">
        <v>17</v>
      </c>
      <c r="F166" s="3">
        <v>4</v>
      </c>
      <c r="G166" s="5">
        <v>32</v>
      </c>
    </row>
    <row r="167" spans="1:7" x14ac:dyDescent="0.25">
      <c r="A167" s="4">
        <v>46286</v>
      </c>
      <c r="B167" s="2">
        <f t="shared" si="5"/>
        <v>46286</v>
      </c>
      <c r="C167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W24 (19/9 - 25/9)</v>
      </c>
      <c r="D167" s="3" t="s">
        <v>18</v>
      </c>
      <c r="E167" s="11" t="s">
        <v>17</v>
      </c>
      <c r="F167" s="3">
        <v>14</v>
      </c>
      <c r="G167" s="5">
        <v>112</v>
      </c>
    </row>
    <row r="168" spans="1:7" x14ac:dyDescent="0.25">
      <c r="A168" s="4">
        <v>46287</v>
      </c>
      <c r="B168" s="2">
        <f t="shared" si="5"/>
        <v>46287</v>
      </c>
      <c r="C168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W24 (19/9 - 25/9)</v>
      </c>
      <c r="D168" s="3" t="s">
        <v>18</v>
      </c>
      <c r="E168" s="11" t="s">
        <v>17</v>
      </c>
      <c r="F168" s="3">
        <v>14</v>
      </c>
      <c r="G168" s="5">
        <v>112</v>
      </c>
    </row>
    <row r="169" spans="1:7" x14ac:dyDescent="0.25">
      <c r="A169" s="4">
        <v>46288</v>
      </c>
      <c r="B169" s="2">
        <f t="shared" si="5"/>
        <v>46288</v>
      </c>
      <c r="C169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W24 (19/9 - 25/9)</v>
      </c>
      <c r="D169" s="3" t="s">
        <v>18</v>
      </c>
      <c r="E169" s="11" t="s">
        <v>17</v>
      </c>
      <c r="F169" s="3">
        <v>14</v>
      </c>
      <c r="G169" s="5">
        <v>112</v>
      </c>
    </row>
    <row r="170" spans="1:7" x14ac:dyDescent="0.25">
      <c r="A170" s="4">
        <v>46289</v>
      </c>
      <c r="B170" s="2">
        <f t="shared" si="5"/>
        <v>46289</v>
      </c>
      <c r="C170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W24 (19/9 - 25/9)</v>
      </c>
      <c r="D170" s="3" t="s">
        <v>18</v>
      </c>
      <c r="E170" s="11" t="s">
        <v>17</v>
      </c>
      <c r="F170" s="3">
        <v>14</v>
      </c>
      <c r="G170" s="5">
        <v>112</v>
      </c>
    </row>
    <row r="171" spans="1:7" x14ac:dyDescent="0.25">
      <c r="A171" s="4">
        <v>46290</v>
      </c>
      <c r="B171" s="2">
        <f t="shared" si="5"/>
        <v>46290</v>
      </c>
      <c r="C171" s="3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W24 (19/9 - 25/9)</v>
      </c>
      <c r="D171" s="3" t="s">
        <v>18</v>
      </c>
      <c r="E171" s="11" t="s">
        <v>17</v>
      </c>
      <c r="F171" s="3">
        <v>13</v>
      </c>
      <c r="G171" s="5">
        <v>104</v>
      </c>
    </row>
    <row r="172" spans="1:7" x14ac:dyDescent="0.25">
      <c r="A172" s="46">
        <v>46291</v>
      </c>
      <c r="B172" s="2">
        <f t="shared" si="5"/>
        <v>46291</v>
      </c>
      <c r="C172" s="47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W25 (26/9 - 2/10)</v>
      </c>
      <c r="D172" s="3" t="s">
        <v>18</v>
      </c>
      <c r="E172" s="3" t="s">
        <v>17</v>
      </c>
      <c r="F172" s="3">
        <v>13</v>
      </c>
      <c r="G172" s="5">
        <v>104</v>
      </c>
    </row>
    <row r="173" spans="1:7" x14ac:dyDescent="0.25">
      <c r="A173" s="46">
        <v>46292</v>
      </c>
      <c r="B173" s="2">
        <f t="shared" si="5"/>
        <v>46292</v>
      </c>
      <c r="C173" s="47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W25 (26/9 - 2/10)</v>
      </c>
      <c r="D173" s="3" t="s">
        <v>18</v>
      </c>
      <c r="E173" s="3" t="s">
        <v>17</v>
      </c>
      <c r="F173" s="3">
        <v>6</v>
      </c>
      <c r="G173" s="5">
        <v>48</v>
      </c>
    </row>
    <row r="174" spans="1:7" x14ac:dyDescent="0.25">
      <c r="A174" s="46">
        <v>46293</v>
      </c>
      <c r="B174" s="2">
        <f t="shared" si="5"/>
        <v>46293</v>
      </c>
      <c r="C174" s="47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W25 (26/9 - 2/10)</v>
      </c>
      <c r="D174" s="3" t="s">
        <v>18</v>
      </c>
      <c r="E174" s="3" t="s">
        <v>17</v>
      </c>
      <c r="F174" s="3">
        <v>12</v>
      </c>
      <c r="G174" s="5">
        <v>96</v>
      </c>
    </row>
    <row r="175" spans="1:7" x14ac:dyDescent="0.25">
      <c r="A175" s="46">
        <v>46294</v>
      </c>
      <c r="B175" s="2">
        <f t="shared" si="5"/>
        <v>46294</v>
      </c>
      <c r="C175" s="47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W25 (26/9 - 2/10)</v>
      </c>
      <c r="D175" s="3" t="s">
        <v>18</v>
      </c>
      <c r="E175" s="3" t="s">
        <v>17</v>
      </c>
      <c r="F175" s="3">
        <v>14</v>
      </c>
      <c r="G175" s="5">
        <v>112</v>
      </c>
    </row>
    <row r="176" spans="1:7" x14ac:dyDescent="0.25">
      <c r="A176" s="46">
        <v>46295</v>
      </c>
      <c r="B176" s="2">
        <f t="shared" si="5"/>
        <v>46295</v>
      </c>
      <c r="C176" s="47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W25 (26/9 - 2/10)</v>
      </c>
      <c r="D176" s="3" t="s">
        <v>18</v>
      </c>
      <c r="E176" s="3" t="s">
        <v>17</v>
      </c>
      <c r="F176" s="3">
        <v>14</v>
      </c>
      <c r="G176" s="5">
        <v>112</v>
      </c>
    </row>
    <row r="177" spans="1:7" x14ac:dyDescent="0.25">
      <c r="A177" s="46">
        <v>46296</v>
      </c>
      <c r="B177" s="2">
        <f t="shared" si="5"/>
        <v>46296</v>
      </c>
      <c r="C177" s="47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W25 (26/9 - 2/10)</v>
      </c>
      <c r="D177" s="3" t="s">
        <v>18</v>
      </c>
      <c r="E177" s="3" t="s">
        <v>17</v>
      </c>
      <c r="F177" s="3">
        <v>14</v>
      </c>
      <c r="G177" s="5">
        <v>112</v>
      </c>
    </row>
    <row r="178" spans="1:7" x14ac:dyDescent="0.25">
      <c r="A178" s="48">
        <v>46297</v>
      </c>
      <c r="B178" s="10">
        <f t="shared" si="5"/>
        <v>46297</v>
      </c>
      <c r="C178" s="49" t="str">
        <f>IF([1]!POM_SITE[[#This Row],[DATE]]&lt;DATE(2026,4,11),"0",_xlfn.LET(
_xlpm.W,INT(([1]!POM_SITE[[#This Row],[DATE]]-DATE(2026,4,11))/7)+1,
_xlpm.S,DATE(2026,4,11)+(_xlpm.W-1)*7,
_xlpm.E,_xlpm.S+6,
"W"&amp;TEXT(_xlpm.W,"00")&amp;" ("&amp;TEXT(_xlpm.S,"d/m")&amp;" - "&amp;TEXT(_xlpm.E,"d/m")&amp;")"
))</f>
        <v>W25 (26/9 - 2/10)</v>
      </c>
      <c r="D178" s="11" t="s">
        <v>18</v>
      </c>
      <c r="E178" s="11" t="s">
        <v>17</v>
      </c>
      <c r="F178" s="11">
        <v>14</v>
      </c>
      <c r="G178" s="12">
        <v>112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G178"/>
  <sheetViews>
    <sheetView topLeftCell="A154" zoomScaleNormal="100" workbookViewId="0">
      <selection activeCell="F189" sqref="F189"/>
    </sheetView>
  </sheetViews>
  <sheetFormatPr defaultColWidth="8.85546875" defaultRowHeight="12.75" x14ac:dyDescent="0.25"/>
  <cols>
    <col min="1" max="1" width="18.7109375" style="1" customWidth="1"/>
    <col min="2" max="2" width="13.7109375" style="1" customWidth="1"/>
    <col min="3" max="3" width="17.85546875" style="1" bestFit="1" customWidth="1"/>
    <col min="4" max="7" width="21.85546875" style="1" customWidth="1"/>
    <col min="8" max="8" width="8.85546875" style="1" customWidth="1"/>
    <col min="9" max="16384" width="8.85546875" style="1"/>
  </cols>
  <sheetData>
    <row r="5" spans="1:7" x14ac:dyDescent="0.25">
      <c r="A5" s="6" t="s">
        <v>0</v>
      </c>
      <c r="B5" s="7" t="s">
        <v>1</v>
      </c>
      <c r="C5" s="7" t="s">
        <v>2</v>
      </c>
      <c r="D5" s="7" t="s">
        <v>12</v>
      </c>
      <c r="E5" s="7" t="s">
        <v>13</v>
      </c>
      <c r="F5" s="7" t="s">
        <v>14</v>
      </c>
      <c r="G5" s="8" t="s">
        <v>15</v>
      </c>
    </row>
    <row r="6" spans="1:7" x14ac:dyDescent="0.25">
      <c r="A6" s="4">
        <v>46125</v>
      </c>
      <c r="B6" s="2">
        <f t="shared" ref="B6:B37" si="0">A6</f>
        <v>46125</v>
      </c>
      <c r="C6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W01 (11/4 - 17/4)</v>
      </c>
      <c r="D6" s="3" t="s">
        <v>19</v>
      </c>
      <c r="E6" s="3" t="s">
        <v>17</v>
      </c>
      <c r="F6" s="3">
        <v>6</v>
      </c>
      <c r="G6" s="5">
        <v>48</v>
      </c>
    </row>
    <row r="7" spans="1:7" x14ac:dyDescent="0.25">
      <c r="A7" s="4">
        <v>46126</v>
      </c>
      <c r="B7" s="2">
        <f t="shared" si="0"/>
        <v>46126</v>
      </c>
      <c r="C7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W01 (11/4 - 17/4)</v>
      </c>
      <c r="D7" s="3" t="s">
        <v>19</v>
      </c>
      <c r="E7" s="3" t="s">
        <v>17</v>
      </c>
      <c r="F7" s="3">
        <v>6</v>
      </c>
      <c r="G7" s="5">
        <v>48</v>
      </c>
    </row>
    <row r="8" spans="1:7" x14ac:dyDescent="0.25">
      <c r="A8" s="4">
        <v>46127</v>
      </c>
      <c r="B8" s="2">
        <f t="shared" si="0"/>
        <v>46127</v>
      </c>
      <c r="C8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W01 (11/4 - 17/4)</v>
      </c>
      <c r="D8" s="3" t="s">
        <v>19</v>
      </c>
      <c r="E8" s="3" t="s">
        <v>17</v>
      </c>
      <c r="F8" s="3">
        <v>6</v>
      </c>
      <c r="G8" s="5">
        <v>48</v>
      </c>
    </row>
    <row r="9" spans="1:7" x14ac:dyDescent="0.25">
      <c r="A9" s="4">
        <v>46128</v>
      </c>
      <c r="B9" s="2">
        <f t="shared" si="0"/>
        <v>46128</v>
      </c>
      <c r="C9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W01 (11/4 - 17/4)</v>
      </c>
      <c r="D9" s="3" t="s">
        <v>19</v>
      </c>
      <c r="E9" s="3" t="s">
        <v>17</v>
      </c>
      <c r="F9" s="3">
        <v>6</v>
      </c>
      <c r="G9" s="5">
        <v>48</v>
      </c>
    </row>
    <row r="10" spans="1:7" x14ac:dyDescent="0.25">
      <c r="A10" s="4">
        <v>46129</v>
      </c>
      <c r="B10" s="2">
        <f t="shared" si="0"/>
        <v>46129</v>
      </c>
      <c r="C10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W01 (11/4 - 17/4)</v>
      </c>
      <c r="D10" s="3" t="s">
        <v>19</v>
      </c>
      <c r="E10" s="3" t="s">
        <v>17</v>
      </c>
      <c r="F10" s="3">
        <v>6</v>
      </c>
      <c r="G10" s="5">
        <v>48</v>
      </c>
    </row>
    <row r="11" spans="1:7" x14ac:dyDescent="0.25">
      <c r="A11" s="4">
        <v>46130</v>
      </c>
      <c r="B11" s="2">
        <f t="shared" si="0"/>
        <v>46130</v>
      </c>
      <c r="C11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W02 (18/4 - 24/4)</v>
      </c>
      <c r="D11" s="3" t="s">
        <v>19</v>
      </c>
      <c r="E11" s="3" t="s">
        <v>17</v>
      </c>
      <c r="F11" s="3">
        <v>0</v>
      </c>
      <c r="G11" s="5">
        <v>0</v>
      </c>
    </row>
    <row r="12" spans="1:7" x14ac:dyDescent="0.25">
      <c r="A12" s="4">
        <v>46131</v>
      </c>
      <c r="B12" s="2">
        <f t="shared" si="0"/>
        <v>46131</v>
      </c>
      <c r="C12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W02 (18/4 - 24/4)</v>
      </c>
      <c r="D12" s="3" t="s">
        <v>19</v>
      </c>
      <c r="E12" s="3" t="s">
        <v>17</v>
      </c>
      <c r="F12" s="3">
        <v>0</v>
      </c>
      <c r="G12" s="5">
        <v>0</v>
      </c>
    </row>
    <row r="13" spans="1:7" x14ac:dyDescent="0.25">
      <c r="A13" s="4">
        <v>46132</v>
      </c>
      <c r="B13" s="2">
        <f t="shared" si="0"/>
        <v>46132</v>
      </c>
      <c r="C13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W02 (18/4 - 24/4)</v>
      </c>
      <c r="D13" s="3" t="s">
        <v>19</v>
      </c>
      <c r="E13" s="3" t="s">
        <v>17</v>
      </c>
      <c r="F13" s="3">
        <v>6</v>
      </c>
      <c r="G13" s="5">
        <v>48</v>
      </c>
    </row>
    <row r="14" spans="1:7" x14ac:dyDescent="0.25">
      <c r="A14" s="4">
        <v>46133</v>
      </c>
      <c r="B14" s="2">
        <f t="shared" si="0"/>
        <v>46133</v>
      </c>
      <c r="C14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W02 (18/4 - 24/4)</v>
      </c>
      <c r="D14" s="3" t="s">
        <v>19</v>
      </c>
      <c r="E14" s="3" t="s">
        <v>17</v>
      </c>
      <c r="F14" s="3">
        <v>6</v>
      </c>
      <c r="G14" s="5">
        <v>48</v>
      </c>
    </row>
    <row r="15" spans="1:7" x14ac:dyDescent="0.25">
      <c r="A15" s="4">
        <v>46134</v>
      </c>
      <c r="B15" s="2">
        <f t="shared" si="0"/>
        <v>46134</v>
      </c>
      <c r="C15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W02 (18/4 - 24/4)</v>
      </c>
      <c r="D15" s="3" t="s">
        <v>19</v>
      </c>
      <c r="E15" s="3" t="s">
        <v>17</v>
      </c>
      <c r="F15" s="3">
        <v>6</v>
      </c>
      <c r="G15" s="5">
        <v>48</v>
      </c>
    </row>
    <row r="16" spans="1:7" x14ac:dyDescent="0.25">
      <c r="A16" s="4">
        <v>46135</v>
      </c>
      <c r="B16" s="2">
        <f t="shared" si="0"/>
        <v>46135</v>
      </c>
      <c r="C16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W02 (18/4 - 24/4)</v>
      </c>
      <c r="D16" s="3" t="s">
        <v>19</v>
      </c>
      <c r="E16" s="3" t="s">
        <v>17</v>
      </c>
      <c r="F16" s="3">
        <v>6</v>
      </c>
      <c r="G16" s="5">
        <v>48</v>
      </c>
    </row>
    <row r="17" spans="1:7" x14ac:dyDescent="0.25">
      <c r="A17" s="4">
        <v>46136</v>
      </c>
      <c r="B17" s="2">
        <f t="shared" si="0"/>
        <v>46136</v>
      </c>
      <c r="C17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W02 (18/4 - 24/4)</v>
      </c>
      <c r="D17" s="3" t="s">
        <v>19</v>
      </c>
      <c r="E17" s="3" t="s">
        <v>17</v>
      </c>
      <c r="F17" s="3">
        <v>6</v>
      </c>
      <c r="G17" s="5">
        <v>48</v>
      </c>
    </row>
    <row r="18" spans="1:7" x14ac:dyDescent="0.25">
      <c r="A18" s="4">
        <v>46137</v>
      </c>
      <c r="B18" s="2">
        <f t="shared" si="0"/>
        <v>46137</v>
      </c>
      <c r="C18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W03 (25/4 - 1/5)</v>
      </c>
      <c r="D18" s="3" t="s">
        <v>19</v>
      </c>
      <c r="E18" s="3" t="s">
        <v>17</v>
      </c>
      <c r="F18" s="3">
        <v>0</v>
      </c>
      <c r="G18" s="5">
        <v>0</v>
      </c>
    </row>
    <row r="19" spans="1:7" x14ac:dyDescent="0.25">
      <c r="A19" s="4">
        <v>46138</v>
      </c>
      <c r="B19" s="2">
        <f t="shared" si="0"/>
        <v>46138</v>
      </c>
      <c r="C19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W03 (25/4 - 1/5)</v>
      </c>
      <c r="D19" s="3" t="s">
        <v>19</v>
      </c>
      <c r="E19" s="3" t="s">
        <v>17</v>
      </c>
      <c r="F19" s="3">
        <v>0</v>
      </c>
      <c r="G19" s="5">
        <v>0</v>
      </c>
    </row>
    <row r="20" spans="1:7" x14ac:dyDescent="0.25">
      <c r="A20" s="4">
        <v>46139</v>
      </c>
      <c r="B20" s="2">
        <f t="shared" si="0"/>
        <v>46139</v>
      </c>
      <c r="C20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W03 (25/4 - 1/5)</v>
      </c>
      <c r="D20" s="3" t="s">
        <v>19</v>
      </c>
      <c r="E20" s="3" t="s">
        <v>17</v>
      </c>
      <c r="F20" s="3">
        <v>6</v>
      </c>
      <c r="G20" s="5">
        <v>48</v>
      </c>
    </row>
    <row r="21" spans="1:7" x14ac:dyDescent="0.25">
      <c r="A21" s="4">
        <v>46140</v>
      </c>
      <c r="B21" s="2">
        <f t="shared" si="0"/>
        <v>46140</v>
      </c>
      <c r="C21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W03 (25/4 - 1/5)</v>
      </c>
      <c r="D21" s="3" t="s">
        <v>19</v>
      </c>
      <c r="E21" s="3" t="s">
        <v>17</v>
      </c>
      <c r="F21" s="3">
        <v>6</v>
      </c>
      <c r="G21" s="5">
        <v>48</v>
      </c>
    </row>
    <row r="22" spans="1:7" x14ac:dyDescent="0.25">
      <c r="A22" s="4">
        <v>46141</v>
      </c>
      <c r="B22" s="2">
        <f t="shared" si="0"/>
        <v>46141</v>
      </c>
      <c r="C22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W03 (25/4 - 1/5)</v>
      </c>
      <c r="D22" s="3" t="s">
        <v>19</v>
      </c>
      <c r="E22" s="3" t="s">
        <v>17</v>
      </c>
      <c r="F22" s="3">
        <v>6</v>
      </c>
      <c r="G22" s="5">
        <v>48</v>
      </c>
    </row>
    <row r="23" spans="1:7" x14ac:dyDescent="0.25">
      <c r="A23" s="4">
        <v>46142</v>
      </c>
      <c r="B23" s="2">
        <f t="shared" si="0"/>
        <v>46142</v>
      </c>
      <c r="C23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W03 (25/4 - 1/5)</v>
      </c>
      <c r="D23" s="3" t="s">
        <v>19</v>
      </c>
      <c r="E23" s="3" t="s">
        <v>17</v>
      </c>
      <c r="F23" s="3">
        <v>6</v>
      </c>
      <c r="G23" s="5">
        <v>48</v>
      </c>
    </row>
    <row r="24" spans="1:7" x14ac:dyDescent="0.25">
      <c r="A24" s="4">
        <v>46143</v>
      </c>
      <c r="B24" s="2">
        <f t="shared" si="0"/>
        <v>46143</v>
      </c>
      <c r="C24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W03 (25/4 - 1/5)</v>
      </c>
      <c r="D24" s="3" t="s">
        <v>19</v>
      </c>
      <c r="E24" s="3" t="s">
        <v>17</v>
      </c>
      <c r="F24" s="3">
        <v>0</v>
      </c>
      <c r="G24" s="5">
        <v>0</v>
      </c>
    </row>
    <row r="25" spans="1:7" x14ac:dyDescent="0.25">
      <c r="A25" s="4">
        <v>46144</v>
      </c>
      <c r="B25" s="2">
        <f t="shared" si="0"/>
        <v>46144</v>
      </c>
      <c r="C25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W04 (2/5 - 8/5)</v>
      </c>
      <c r="D25" s="3" t="s">
        <v>19</v>
      </c>
      <c r="E25" s="3" t="s">
        <v>17</v>
      </c>
      <c r="F25" s="3">
        <v>6</v>
      </c>
      <c r="G25" s="5">
        <v>48</v>
      </c>
    </row>
    <row r="26" spans="1:7" x14ac:dyDescent="0.25">
      <c r="A26" s="4">
        <v>46145</v>
      </c>
      <c r="B26" s="2">
        <f t="shared" si="0"/>
        <v>46145</v>
      </c>
      <c r="C26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W04 (2/5 - 8/5)</v>
      </c>
      <c r="D26" s="3" t="s">
        <v>19</v>
      </c>
      <c r="E26" s="3" t="s">
        <v>17</v>
      </c>
      <c r="F26" s="3">
        <v>0</v>
      </c>
      <c r="G26" s="5">
        <v>0</v>
      </c>
    </row>
    <row r="27" spans="1:7" x14ac:dyDescent="0.25">
      <c r="A27" s="4">
        <v>46146</v>
      </c>
      <c r="B27" s="2">
        <f t="shared" si="0"/>
        <v>46146</v>
      </c>
      <c r="C27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W04 (2/5 - 8/5)</v>
      </c>
      <c r="D27" s="3" t="s">
        <v>19</v>
      </c>
      <c r="E27" s="3" t="s">
        <v>17</v>
      </c>
      <c r="F27" s="3">
        <v>6</v>
      </c>
      <c r="G27" s="5">
        <v>48</v>
      </c>
    </row>
    <row r="28" spans="1:7" x14ac:dyDescent="0.25">
      <c r="A28" s="4">
        <v>46147</v>
      </c>
      <c r="B28" s="2">
        <f t="shared" si="0"/>
        <v>46147</v>
      </c>
      <c r="C28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W04 (2/5 - 8/5)</v>
      </c>
      <c r="D28" s="3" t="s">
        <v>19</v>
      </c>
      <c r="E28" s="3" t="s">
        <v>17</v>
      </c>
      <c r="F28" s="3">
        <v>6</v>
      </c>
      <c r="G28" s="5">
        <v>48</v>
      </c>
    </row>
    <row r="29" spans="1:7" x14ac:dyDescent="0.25">
      <c r="A29" s="4">
        <v>46148</v>
      </c>
      <c r="B29" s="2">
        <f t="shared" si="0"/>
        <v>46148</v>
      </c>
      <c r="C29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W04 (2/5 - 8/5)</v>
      </c>
      <c r="D29" s="3" t="s">
        <v>19</v>
      </c>
      <c r="E29" s="3" t="s">
        <v>17</v>
      </c>
      <c r="F29" s="3">
        <v>6</v>
      </c>
      <c r="G29" s="5">
        <v>48</v>
      </c>
    </row>
    <row r="30" spans="1:7" x14ac:dyDescent="0.25">
      <c r="A30" s="4">
        <v>46149</v>
      </c>
      <c r="B30" s="2">
        <f t="shared" si="0"/>
        <v>46149</v>
      </c>
      <c r="C30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W04 (2/5 - 8/5)</v>
      </c>
      <c r="D30" s="3" t="s">
        <v>19</v>
      </c>
      <c r="E30" s="3" t="s">
        <v>17</v>
      </c>
      <c r="F30" s="3">
        <v>6</v>
      </c>
      <c r="G30" s="5">
        <v>48</v>
      </c>
    </row>
    <row r="31" spans="1:7" x14ac:dyDescent="0.25">
      <c r="A31" s="4">
        <v>46150</v>
      </c>
      <c r="B31" s="2">
        <f t="shared" si="0"/>
        <v>46150</v>
      </c>
      <c r="C31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W04 (2/5 - 8/5)</v>
      </c>
      <c r="D31" s="3" t="s">
        <v>19</v>
      </c>
      <c r="E31" s="3" t="s">
        <v>17</v>
      </c>
      <c r="F31" s="3">
        <v>6</v>
      </c>
      <c r="G31" s="5">
        <v>48</v>
      </c>
    </row>
    <row r="32" spans="1:7" x14ac:dyDescent="0.25">
      <c r="A32" s="4">
        <v>46151</v>
      </c>
      <c r="B32" s="2">
        <f t="shared" si="0"/>
        <v>46151</v>
      </c>
      <c r="C32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W05 (9/5 - 15/5)</v>
      </c>
      <c r="D32" s="3" t="s">
        <v>19</v>
      </c>
      <c r="E32" s="3" t="s">
        <v>17</v>
      </c>
      <c r="F32" s="3">
        <v>0</v>
      </c>
      <c r="G32" s="5">
        <v>0</v>
      </c>
    </row>
    <row r="33" spans="1:7" x14ac:dyDescent="0.25">
      <c r="A33" s="4">
        <v>46152</v>
      </c>
      <c r="B33" s="2">
        <f t="shared" si="0"/>
        <v>46152</v>
      </c>
      <c r="C33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W05 (9/5 - 15/5)</v>
      </c>
      <c r="D33" s="3" t="s">
        <v>19</v>
      </c>
      <c r="E33" s="3" t="s">
        <v>17</v>
      </c>
      <c r="F33" s="3">
        <v>0</v>
      </c>
      <c r="G33" s="5">
        <v>0</v>
      </c>
    </row>
    <row r="34" spans="1:7" x14ac:dyDescent="0.25">
      <c r="A34" s="4">
        <v>46153</v>
      </c>
      <c r="B34" s="2">
        <f t="shared" si="0"/>
        <v>46153</v>
      </c>
      <c r="C34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W05 (9/5 - 15/5)</v>
      </c>
      <c r="D34" s="3" t="s">
        <v>19</v>
      </c>
      <c r="E34" s="3" t="s">
        <v>17</v>
      </c>
      <c r="F34" s="3">
        <v>6</v>
      </c>
      <c r="G34" s="5">
        <v>48</v>
      </c>
    </row>
    <row r="35" spans="1:7" x14ac:dyDescent="0.25">
      <c r="A35" s="4">
        <v>46154</v>
      </c>
      <c r="B35" s="2">
        <f t="shared" si="0"/>
        <v>46154</v>
      </c>
      <c r="C35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W05 (9/5 - 15/5)</v>
      </c>
      <c r="D35" s="3" t="s">
        <v>19</v>
      </c>
      <c r="E35" s="3" t="s">
        <v>17</v>
      </c>
      <c r="F35" s="3">
        <v>6</v>
      </c>
      <c r="G35" s="5">
        <v>48</v>
      </c>
    </row>
    <row r="36" spans="1:7" x14ac:dyDescent="0.25">
      <c r="A36" s="4">
        <v>46155</v>
      </c>
      <c r="B36" s="2">
        <f t="shared" si="0"/>
        <v>46155</v>
      </c>
      <c r="C36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W05 (9/5 - 15/5)</v>
      </c>
      <c r="D36" s="3" t="s">
        <v>19</v>
      </c>
      <c r="E36" s="3" t="s">
        <v>17</v>
      </c>
      <c r="F36" s="3">
        <v>6</v>
      </c>
      <c r="G36" s="5">
        <v>48</v>
      </c>
    </row>
    <row r="37" spans="1:7" x14ac:dyDescent="0.25">
      <c r="A37" s="4">
        <v>46156</v>
      </c>
      <c r="B37" s="2">
        <f t="shared" si="0"/>
        <v>46156</v>
      </c>
      <c r="C37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W05 (9/5 - 15/5)</v>
      </c>
      <c r="D37" s="3" t="s">
        <v>19</v>
      </c>
      <c r="E37" s="3" t="s">
        <v>17</v>
      </c>
      <c r="F37" s="3">
        <v>6</v>
      </c>
      <c r="G37" s="5">
        <v>48</v>
      </c>
    </row>
    <row r="38" spans="1:7" x14ac:dyDescent="0.25">
      <c r="A38" s="4">
        <v>46157</v>
      </c>
      <c r="B38" s="2">
        <f t="shared" ref="B38:B69" si="1">A38</f>
        <v>46157</v>
      </c>
      <c r="C38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W05 (9/5 - 15/5)</v>
      </c>
      <c r="D38" s="3" t="s">
        <v>19</v>
      </c>
      <c r="E38" s="3" t="s">
        <v>17</v>
      </c>
      <c r="F38" s="3">
        <v>6</v>
      </c>
      <c r="G38" s="5">
        <v>48</v>
      </c>
    </row>
    <row r="39" spans="1:7" x14ac:dyDescent="0.25">
      <c r="A39" s="4">
        <v>46158</v>
      </c>
      <c r="B39" s="2">
        <f t="shared" si="1"/>
        <v>46158</v>
      </c>
      <c r="C39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W06 (16/5 - 22/5)</v>
      </c>
      <c r="D39" s="3" t="s">
        <v>19</v>
      </c>
      <c r="E39" s="3" t="s">
        <v>17</v>
      </c>
      <c r="F39" s="3">
        <v>0</v>
      </c>
      <c r="G39" s="5">
        <v>0</v>
      </c>
    </row>
    <row r="40" spans="1:7" x14ac:dyDescent="0.25">
      <c r="A40" s="4">
        <v>46159</v>
      </c>
      <c r="B40" s="2">
        <f t="shared" si="1"/>
        <v>46159</v>
      </c>
      <c r="C40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W06 (16/5 - 22/5)</v>
      </c>
      <c r="D40" s="3" t="s">
        <v>19</v>
      </c>
      <c r="E40" s="3" t="s">
        <v>17</v>
      </c>
      <c r="F40" s="3">
        <v>0</v>
      </c>
      <c r="G40" s="5">
        <v>0</v>
      </c>
    </row>
    <row r="41" spans="1:7" x14ac:dyDescent="0.25">
      <c r="A41" s="4">
        <v>46160</v>
      </c>
      <c r="B41" s="2">
        <f t="shared" si="1"/>
        <v>46160</v>
      </c>
      <c r="C41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W06 (16/5 - 22/5)</v>
      </c>
      <c r="D41" s="3" t="s">
        <v>19</v>
      </c>
      <c r="E41" s="3" t="s">
        <v>17</v>
      </c>
      <c r="F41" s="3">
        <v>6</v>
      </c>
      <c r="G41" s="5">
        <v>48</v>
      </c>
    </row>
    <row r="42" spans="1:7" x14ac:dyDescent="0.25">
      <c r="A42" s="4">
        <v>46161</v>
      </c>
      <c r="B42" s="2">
        <f t="shared" si="1"/>
        <v>46161</v>
      </c>
      <c r="C42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W06 (16/5 - 22/5)</v>
      </c>
      <c r="D42" s="3" t="s">
        <v>19</v>
      </c>
      <c r="E42" s="3" t="s">
        <v>17</v>
      </c>
      <c r="F42" s="3">
        <v>6</v>
      </c>
      <c r="G42" s="5">
        <v>48</v>
      </c>
    </row>
    <row r="43" spans="1:7" x14ac:dyDescent="0.25">
      <c r="A43" s="4">
        <v>46162</v>
      </c>
      <c r="B43" s="2">
        <f t="shared" si="1"/>
        <v>46162</v>
      </c>
      <c r="C43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W06 (16/5 - 22/5)</v>
      </c>
      <c r="D43" s="3" t="s">
        <v>19</v>
      </c>
      <c r="E43" s="3" t="s">
        <v>17</v>
      </c>
      <c r="F43" s="3">
        <v>6</v>
      </c>
      <c r="G43" s="5">
        <v>48</v>
      </c>
    </row>
    <row r="44" spans="1:7" x14ac:dyDescent="0.25">
      <c r="A44" s="4">
        <v>46163</v>
      </c>
      <c r="B44" s="2">
        <f t="shared" si="1"/>
        <v>46163</v>
      </c>
      <c r="C44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W06 (16/5 - 22/5)</v>
      </c>
      <c r="D44" s="3" t="s">
        <v>19</v>
      </c>
      <c r="E44" s="3" t="s">
        <v>17</v>
      </c>
      <c r="F44" s="3">
        <v>6</v>
      </c>
      <c r="G44" s="5">
        <v>48</v>
      </c>
    </row>
    <row r="45" spans="1:7" x14ac:dyDescent="0.25">
      <c r="A45" s="4">
        <v>46164</v>
      </c>
      <c r="B45" s="2">
        <f t="shared" si="1"/>
        <v>46164</v>
      </c>
      <c r="C45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W06 (16/5 - 22/5)</v>
      </c>
      <c r="D45" s="3" t="s">
        <v>19</v>
      </c>
      <c r="E45" s="3" t="s">
        <v>17</v>
      </c>
      <c r="F45" s="3">
        <v>6</v>
      </c>
      <c r="G45" s="5">
        <v>48</v>
      </c>
    </row>
    <row r="46" spans="1:7" x14ac:dyDescent="0.25">
      <c r="A46" s="4">
        <v>46165</v>
      </c>
      <c r="B46" s="2">
        <f t="shared" si="1"/>
        <v>46165</v>
      </c>
      <c r="C46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W07 (23/5 - 29/5)</v>
      </c>
      <c r="D46" s="3" t="s">
        <v>19</v>
      </c>
      <c r="E46" s="3" t="s">
        <v>17</v>
      </c>
      <c r="F46" s="3">
        <v>0</v>
      </c>
      <c r="G46" s="5">
        <v>0</v>
      </c>
    </row>
    <row r="47" spans="1:7" x14ac:dyDescent="0.25">
      <c r="A47" s="4">
        <v>46166</v>
      </c>
      <c r="B47" s="2">
        <f t="shared" si="1"/>
        <v>46166</v>
      </c>
      <c r="C47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W07 (23/5 - 29/5)</v>
      </c>
      <c r="D47" s="3" t="s">
        <v>19</v>
      </c>
      <c r="E47" s="3" t="s">
        <v>17</v>
      </c>
      <c r="F47" s="3">
        <v>0</v>
      </c>
      <c r="G47" s="5">
        <v>0</v>
      </c>
    </row>
    <row r="48" spans="1:7" x14ac:dyDescent="0.25">
      <c r="A48" s="4">
        <v>46167</v>
      </c>
      <c r="B48" s="2">
        <f t="shared" si="1"/>
        <v>46167</v>
      </c>
      <c r="C48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W07 (23/5 - 29/5)</v>
      </c>
      <c r="D48" s="3" t="s">
        <v>19</v>
      </c>
      <c r="E48" s="3" t="s">
        <v>17</v>
      </c>
      <c r="F48" s="3">
        <v>6</v>
      </c>
      <c r="G48" s="5">
        <v>48</v>
      </c>
    </row>
    <row r="49" spans="1:7" x14ac:dyDescent="0.25">
      <c r="A49" s="4">
        <v>46168</v>
      </c>
      <c r="B49" s="2">
        <f t="shared" si="1"/>
        <v>46168</v>
      </c>
      <c r="C49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W07 (23/5 - 29/5)</v>
      </c>
      <c r="D49" s="3" t="s">
        <v>19</v>
      </c>
      <c r="E49" s="3" t="s">
        <v>17</v>
      </c>
      <c r="F49" s="3">
        <v>6</v>
      </c>
      <c r="G49" s="5">
        <v>48</v>
      </c>
    </row>
    <row r="50" spans="1:7" x14ac:dyDescent="0.25">
      <c r="A50" s="4">
        <v>46169</v>
      </c>
      <c r="B50" s="2">
        <f t="shared" si="1"/>
        <v>46169</v>
      </c>
      <c r="C50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W07 (23/5 - 29/5)</v>
      </c>
      <c r="D50" s="3" t="s">
        <v>19</v>
      </c>
      <c r="E50" s="3" t="s">
        <v>17</v>
      </c>
      <c r="F50" s="3">
        <v>0</v>
      </c>
      <c r="G50" s="5">
        <v>0</v>
      </c>
    </row>
    <row r="51" spans="1:7" x14ac:dyDescent="0.25">
      <c r="A51" s="4">
        <v>46170</v>
      </c>
      <c r="B51" s="2">
        <f t="shared" si="1"/>
        <v>46170</v>
      </c>
      <c r="C51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W07 (23/5 - 29/5)</v>
      </c>
      <c r="D51" s="3" t="s">
        <v>19</v>
      </c>
      <c r="E51" s="3" t="s">
        <v>17</v>
      </c>
      <c r="F51" s="3">
        <v>6</v>
      </c>
      <c r="G51" s="5">
        <v>48</v>
      </c>
    </row>
    <row r="52" spans="1:7" x14ac:dyDescent="0.25">
      <c r="A52" s="4">
        <v>46171</v>
      </c>
      <c r="B52" s="2">
        <f t="shared" si="1"/>
        <v>46171</v>
      </c>
      <c r="C52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W07 (23/5 - 29/5)</v>
      </c>
      <c r="D52" s="3" t="s">
        <v>19</v>
      </c>
      <c r="E52" s="3" t="s">
        <v>17</v>
      </c>
      <c r="F52" s="3">
        <v>6</v>
      </c>
      <c r="G52" s="5">
        <v>48</v>
      </c>
    </row>
    <row r="53" spans="1:7" x14ac:dyDescent="0.25">
      <c r="A53" s="4">
        <v>46172</v>
      </c>
      <c r="B53" s="2">
        <f t="shared" si="1"/>
        <v>46172</v>
      </c>
      <c r="C53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W08 (30/5 - 5/6)</v>
      </c>
      <c r="D53" s="3" t="s">
        <v>19</v>
      </c>
      <c r="E53" s="3" t="s">
        <v>17</v>
      </c>
      <c r="F53" s="3">
        <v>0</v>
      </c>
      <c r="G53" s="5">
        <v>0</v>
      </c>
    </row>
    <row r="54" spans="1:7" x14ac:dyDescent="0.25">
      <c r="A54" s="4">
        <v>46173</v>
      </c>
      <c r="B54" s="2">
        <f t="shared" si="1"/>
        <v>46173</v>
      </c>
      <c r="C54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W08 (30/5 - 5/6)</v>
      </c>
      <c r="D54" s="3" t="s">
        <v>19</v>
      </c>
      <c r="E54" s="3" t="s">
        <v>17</v>
      </c>
      <c r="F54" s="3">
        <v>0</v>
      </c>
      <c r="G54" s="5">
        <v>0</v>
      </c>
    </row>
    <row r="55" spans="1:7" x14ac:dyDescent="0.25">
      <c r="A55" s="4">
        <v>46174</v>
      </c>
      <c r="B55" s="2">
        <f t="shared" si="1"/>
        <v>46174</v>
      </c>
      <c r="C55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W08 (30/5 - 5/6)</v>
      </c>
      <c r="D55" s="3" t="s">
        <v>19</v>
      </c>
      <c r="E55" s="3" t="s">
        <v>17</v>
      </c>
      <c r="F55" s="3">
        <v>0</v>
      </c>
      <c r="G55" s="5">
        <v>0</v>
      </c>
    </row>
    <row r="56" spans="1:7" x14ac:dyDescent="0.25">
      <c r="A56" s="4">
        <v>46175</v>
      </c>
      <c r="B56" s="2">
        <f t="shared" si="1"/>
        <v>46175</v>
      </c>
      <c r="C56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W08 (30/5 - 5/6)</v>
      </c>
      <c r="D56" s="3" t="s">
        <v>19</v>
      </c>
      <c r="E56" s="3" t="s">
        <v>17</v>
      </c>
      <c r="F56" s="3">
        <v>0</v>
      </c>
      <c r="G56" s="5">
        <v>0</v>
      </c>
    </row>
    <row r="57" spans="1:7" x14ac:dyDescent="0.25">
      <c r="A57" s="4">
        <v>46176</v>
      </c>
      <c r="B57" s="2">
        <f t="shared" si="1"/>
        <v>46176</v>
      </c>
      <c r="C57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W08 (30/5 - 5/6)</v>
      </c>
      <c r="D57" s="3" t="s">
        <v>19</v>
      </c>
      <c r="E57" s="3" t="s">
        <v>17</v>
      </c>
      <c r="F57" s="3">
        <v>5</v>
      </c>
      <c r="G57" s="5">
        <v>40</v>
      </c>
    </row>
    <row r="58" spans="1:7" x14ac:dyDescent="0.25">
      <c r="A58" s="4">
        <v>46177</v>
      </c>
      <c r="B58" s="2">
        <f t="shared" si="1"/>
        <v>46177</v>
      </c>
      <c r="C58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W08 (30/5 - 5/6)</v>
      </c>
      <c r="D58" s="3" t="s">
        <v>19</v>
      </c>
      <c r="E58" s="3" t="s">
        <v>17</v>
      </c>
      <c r="F58" s="3">
        <v>5</v>
      </c>
      <c r="G58" s="5">
        <v>40</v>
      </c>
    </row>
    <row r="59" spans="1:7" x14ac:dyDescent="0.25">
      <c r="A59" s="4">
        <v>46178</v>
      </c>
      <c r="B59" s="2">
        <f t="shared" si="1"/>
        <v>46178</v>
      </c>
      <c r="C59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W08 (30/5 - 5/6)</v>
      </c>
      <c r="D59" s="3" t="s">
        <v>19</v>
      </c>
      <c r="E59" s="3" t="s">
        <v>17</v>
      </c>
      <c r="F59" s="3">
        <v>5</v>
      </c>
      <c r="G59" s="5">
        <v>40</v>
      </c>
    </row>
    <row r="60" spans="1:7" x14ac:dyDescent="0.25">
      <c r="A60" s="4">
        <v>46179</v>
      </c>
      <c r="B60" s="2">
        <f t="shared" si="1"/>
        <v>46179</v>
      </c>
      <c r="C60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W09 (6/6 - 12/6)</v>
      </c>
      <c r="D60" s="3" t="s">
        <v>19</v>
      </c>
      <c r="E60" s="3" t="s">
        <v>17</v>
      </c>
      <c r="F60" s="3">
        <v>0</v>
      </c>
      <c r="G60" s="5">
        <v>0</v>
      </c>
    </row>
    <row r="61" spans="1:7" x14ac:dyDescent="0.25">
      <c r="A61" s="4">
        <v>46180</v>
      </c>
      <c r="B61" s="2">
        <f t="shared" si="1"/>
        <v>46180</v>
      </c>
      <c r="C61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W09 (6/6 - 12/6)</v>
      </c>
      <c r="D61" s="3" t="s">
        <v>19</v>
      </c>
      <c r="E61" s="3" t="s">
        <v>17</v>
      </c>
      <c r="F61" s="3">
        <v>0</v>
      </c>
      <c r="G61" s="5">
        <v>0</v>
      </c>
    </row>
    <row r="62" spans="1:7" x14ac:dyDescent="0.25">
      <c r="A62" s="4">
        <v>46181</v>
      </c>
      <c r="B62" s="2">
        <f t="shared" si="1"/>
        <v>46181</v>
      </c>
      <c r="C62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W09 (6/6 - 12/6)</v>
      </c>
      <c r="D62" s="3" t="s">
        <v>19</v>
      </c>
      <c r="E62" s="3" t="s">
        <v>17</v>
      </c>
      <c r="F62" s="3">
        <v>7</v>
      </c>
      <c r="G62" s="5">
        <v>56</v>
      </c>
    </row>
    <row r="63" spans="1:7" x14ac:dyDescent="0.25">
      <c r="A63" s="4">
        <v>46182</v>
      </c>
      <c r="B63" s="2">
        <f t="shared" si="1"/>
        <v>46182</v>
      </c>
      <c r="C63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W09 (6/6 - 12/6)</v>
      </c>
      <c r="D63" s="3" t="s">
        <v>19</v>
      </c>
      <c r="E63" s="3" t="s">
        <v>17</v>
      </c>
      <c r="F63" s="3">
        <v>7</v>
      </c>
      <c r="G63" s="5">
        <v>56</v>
      </c>
    </row>
    <row r="64" spans="1:7" x14ac:dyDescent="0.25">
      <c r="A64" s="4">
        <v>46183</v>
      </c>
      <c r="B64" s="2">
        <f t="shared" si="1"/>
        <v>46183</v>
      </c>
      <c r="C64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W09 (6/6 - 12/6)</v>
      </c>
      <c r="D64" s="3" t="s">
        <v>19</v>
      </c>
      <c r="E64" s="3" t="s">
        <v>17</v>
      </c>
      <c r="F64" s="3">
        <v>7</v>
      </c>
      <c r="G64" s="5">
        <v>56</v>
      </c>
    </row>
    <row r="65" spans="1:7" x14ac:dyDescent="0.25">
      <c r="A65" s="4">
        <v>46184</v>
      </c>
      <c r="B65" s="2">
        <f t="shared" si="1"/>
        <v>46184</v>
      </c>
      <c r="C65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W09 (6/6 - 12/6)</v>
      </c>
      <c r="D65" s="3" t="s">
        <v>19</v>
      </c>
      <c r="E65" s="3" t="s">
        <v>17</v>
      </c>
      <c r="F65" s="3">
        <v>7</v>
      </c>
      <c r="G65" s="5">
        <v>56</v>
      </c>
    </row>
    <row r="66" spans="1:7" x14ac:dyDescent="0.25">
      <c r="A66" s="4">
        <v>46185</v>
      </c>
      <c r="B66" s="2">
        <f t="shared" si="1"/>
        <v>46185</v>
      </c>
      <c r="C66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W09 (6/6 - 12/6)</v>
      </c>
      <c r="D66" s="3" t="s">
        <v>19</v>
      </c>
      <c r="E66" s="3" t="s">
        <v>17</v>
      </c>
      <c r="F66" s="3">
        <v>7</v>
      </c>
      <c r="G66" s="5">
        <v>56</v>
      </c>
    </row>
    <row r="67" spans="1:7" x14ac:dyDescent="0.25">
      <c r="A67" s="4">
        <v>46186</v>
      </c>
      <c r="B67" s="2">
        <f t="shared" si="1"/>
        <v>46186</v>
      </c>
      <c r="C67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W10 (13/6 - 19/6)</v>
      </c>
      <c r="D67" s="3" t="s">
        <v>19</v>
      </c>
      <c r="E67" s="3" t="s">
        <v>17</v>
      </c>
      <c r="F67" s="3">
        <v>0</v>
      </c>
      <c r="G67" s="5">
        <v>0</v>
      </c>
    </row>
    <row r="68" spans="1:7" x14ac:dyDescent="0.25">
      <c r="A68" s="4">
        <v>46187</v>
      </c>
      <c r="B68" s="2">
        <f t="shared" si="1"/>
        <v>46187</v>
      </c>
      <c r="C68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W10 (13/6 - 19/6)</v>
      </c>
      <c r="D68" s="3" t="s">
        <v>19</v>
      </c>
      <c r="E68" s="3" t="s">
        <v>17</v>
      </c>
      <c r="F68" s="3">
        <v>0</v>
      </c>
      <c r="G68" s="5">
        <v>0</v>
      </c>
    </row>
    <row r="69" spans="1:7" x14ac:dyDescent="0.25">
      <c r="A69" s="4">
        <v>46188</v>
      </c>
      <c r="B69" s="2">
        <f t="shared" si="1"/>
        <v>46188</v>
      </c>
      <c r="C69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W10 (13/6 - 19/6)</v>
      </c>
      <c r="D69" s="3" t="s">
        <v>19</v>
      </c>
      <c r="E69" s="3" t="s">
        <v>17</v>
      </c>
      <c r="F69" s="3">
        <v>6</v>
      </c>
      <c r="G69" s="5">
        <v>48</v>
      </c>
    </row>
    <row r="70" spans="1:7" x14ac:dyDescent="0.25">
      <c r="A70" s="4">
        <v>46189</v>
      </c>
      <c r="B70" s="2">
        <f t="shared" ref="B70:B101" si="2">A70</f>
        <v>46189</v>
      </c>
      <c r="C70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W10 (13/6 - 19/6)</v>
      </c>
      <c r="D70" s="3" t="s">
        <v>19</v>
      </c>
      <c r="E70" s="3" t="s">
        <v>17</v>
      </c>
      <c r="F70" s="3">
        <v>6</v>
      </c>
      <c r="G70" s="5">
        <v>48</v>
      </c>
    </row>
    <row r="71" spans="1:7" x14ac:dyDescent="0.25">
      <c r="A71" s="4">
        <v>46190</v>
      </c>
      <c r="B71" s="2">
        <f t="shared" si="2"/>
        <v>46190</v>
      </c>
      <c r="C71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W10 (13/6 - 19/6)</v>
      </c>
      <c r="D71" s="3" t="s">
        <v>19</v>
      </c>
      <c r="E71" s="3" t="s">
        <v>17</v>
      </c>
      <c r="F71" s="3">
        <v>0</v>
      </c>
      <c r="G71" s="5">
        <v>0</v>
      </c>
    </row>
    <row r="72" spans="1:7" x14ac:dyDescent="0.25">
      <c r="A72" s="4">
        <v>46191</v>
      </c>
      <c r="B72" s="2">
        <f t="shared" si="2"/>
        <v>46191</v>
      </c>
      <c r="C72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W10 (13/6 - 19/6)</v>
      </c>
      <c r="D72" s="3" t="s">
        <v>19</v>
      </c>
      <c r="E72" s="3" t="s">
        <v>17</v>
      </c>
      <c r="F72" s="3">
        <v>6</v>
      </c>
      <c r="G72" s="5">
        <v>48</v>
      </c>
    </row>
    <row r="73" spans="1:7" x14ac:dyDescent="0.25">
      <c r="A73" s="4">
        <v>46192</v>
      </c>
      <c r="B73" s="2">
        <f t="shared" si="2"/>
        <v>46192</v>
      </c>
      <c r="C73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W10 (13/6 - 19/6)</v>
      </c>
      <c r="D73" s="3" t="s">
        <v>19</v>
      </c>
      <c r="E73" s="3" t="s">
        <v>17</v>
      </c>
      <c r="F73" s="3">
        <v>6</v>
      </c>
      <c r="G73" s="5">
        <v>48</v>
      </c>
    </row>
    <row r="74" spans="1:7" x14ac:dyDescent="0.25">
      <c r="A74" s="4">
        <v>46193</v>
      </c>
      <c r="B74" s="2">
        <f t="shared" si="2"/>
        <v>46193</v>
      </c>
      <c r="C74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W11 (20/6 - 26/6)</v>
      </c>
      <c r="D74" s="3" t="s">
        <v>19</v>
      </c>
      <c r="E74" s="3" t="s">
        <v>17</v>
      </c>
      <c r="F74" s="3">
        <v>0</v>
      </c>
      <c r="G74" s="5">
        <v>0</v>
      </c>
    </row>
    <row r="75" spans="1:7" x14ac:dyDescent="0.25">
      <c r="A75" s="4">
        <v>46194</v>
      </c>
      <c r="B75" s="2">
        <f t="shared" si="2"/>
        <v>46194</v>
      </c>
      <c r="C75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W11 (20/6 - 26/6)</v>
      </c>
      <c r="D75" s="3" t="s">
        <v>19</v>
      </c>
      <c r="E75" s="3" t="s">
        <v>17</v>
      </c>
      <c r="F75" s="3">
        <v>0</v>
      </c>
      <c r="G75" s="5">
        <v>0</v>
      </c>
    </row>
    <row r="76" spans="1:7" x14ac:dyDescent="0.25">
      <c r="A76" s="4">
        <v>46195</v>
      </c>
      <c r="B76" s="2">
        <f t="shared" si="2"/>
        <v>46195</v>
      </c>
      <c r="C76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W11 (20/6 - 26/6)</v>
      </c>
      <c r="D76" s="3" t="s">
        <v>19</v>
      </c>
      <c r="E76" s="3" t="s">
        <v>17</v>
      </c>
      <c r="F76" s="3">
        <v>6</v>
      </c>
      <c r="G76" s="5">
        <v>48</v>
      </c>
    </row>
    <row r="77" spans="1:7" x14ac:dyDescent="0.25">
      <c r="A77" s="4">
        <v>46196</v>
      </c>
      <c r="B77" s="2">
        <f t="shared" si="2"/>
        <v>46196</v>
      </c>
      <c r="C77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W11 (20/6 - 26/6)</v>
      </c>
      <c r="D77" s="3" t="s">
        <v>19</v>
      </c>
      <c r="E77" s="3" t="s">
        <v>17</v>
      </c>
      <c r="F77" s="3">
        <v>6</v>
      </c>
      <c r="G77" s="5">
        <v>48</v>
      </c>
    </row>
    <row r="78" spans="1:7" x14ac:dyDescent="0.25">
      <c r="A78" s="4">
        <v>46197</v>
      </c>
      <c r="B78" s="2">
        <f t="shared" si="2"/>
        <v>46197</v>
      </c>
      <c r="C78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W11 (20/6 - 26/6)</v>
      </c>
      <c r="D78" s="3" t="s">
        <v>19</v>
      </c>
      <c r="E78" s="3" t="s">
        <v>17</v>
      </c>
      <c r="F78" s="3">
        <v>6</v>
      </c>
      <c r="G78" s="5">
        <v>48</v>
      </c>
    </row>
    <row r="79" spans="1:7" x14ac:dyDescent="0.25">
      <c r="A79" s="4">
        <v>46198</v>
      </c>
      <c r="B79" s="2">
        <f t="shared" si="2"/>
        <v>46198</v>
      </c>
      <c r="C79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W11 (20/6 - 26/6)</v>
      </c>
      <c r="D79" s="3" t="s">
        <v>19</v>
      </c>
      <c r="E79" s="3" t="s">
        <v>17</v>
      </c>
      <c r="F79" s="3">
        <v>4</v>
      </c>
      <c r="G79" s="5">
        <v>32</v>
      </c>
    </row>
    <row r="80" spans="1:7" x14ac:dyDescent="0.25">
      <c r="A80" s="4">
        <v>46199</v>
      </c>
      <c r="B80" s="2">
        <f t="shared" si="2"/>
        <v>46199</v>
      </c>
      <c r="C80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W11 (20/6 - 26/6)</v>
      </c>
      <c r="D80" s="3" t="s">
        <v>19</v>
      </c>
      <c r="E80" s="3" t="s">
        <v>17</v>
      </c>
      <c r="F80" s="3">
        <v>4</v>
      </c>
      <c r="G80" s="5">
        <v>32</v>
      </c>
    </row>
    <row r="81" spans="1:7" x14ac:dyDescent="0.25">
      <c r="A81" s="4">
        <v>46200</v>
      </c>
      <c r="B81" s="2">
        <f t="shared" si="2"/>
        <v>46200</v>
      </c>
      <c r="C81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W12 (27/6 - 3/7)</v>
      </c>
      <c r="D81" s="3" t="s">
        <v>19</v>
      </c>
      <c r="E81" s="3" t="s">
        <v>17</v>
      </c>
      <c r="F81" s="3">
        <v>0</v>
      </c>
      <c r="G81" s="5">
        <v>0</v>
      </c>
    </row>
    <row r="82" spans="1:7" x14ac:dyDescent="0.25">
      <c r="A82" s="4">
        <v>46201</v>
      </c>
      <c r="B82" s="2">
        <f t="shared" si="2"/>
        <v>46201</v>
      </c>
      <c r="C82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W12 (27/6 - 3/7)</v>
      </c>
      <c r="D82" s="3" t="s">
        <v>19</v>
      </c>
      <c r="E82" s="3" t="s">
        <v>17</v>
      </c>
      <c r="F82" s="3">
        <v>0</v>
      </c>
      <c r="G82" s="5">
        <v>0</v>
      </c>
    </row>
    <row r="83" spans="1:7" x14ac:dyDescent="0.25">
      <c r="A83" s="4">
        <v>46202</v>
      </c>
      <c r="B83" s="2">
        <f t="shared" si="2"/>
        <v>46202</v>
      </c>
      <c r="C83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W12 (27/6 - 3/7)</v>
      </c>
      <c r="D83" s="3" t="s">
        <v>19</v>
      </c>
      <c r="E83" s="3" t="s">
        <v>17</v>
      </c>
      <c r="F83" s="3">
        <v>3</v>
      </c>
      <c r="G83" s="5">
        <v>24</v>
      </c>
    </row>
    <row r="84" spans="1:7" x14ac:dyDescent="0.25">
      <c r="A84" s="4">
        <v>46203</v>
      </c>
      <c r="B84" s="2">
        <f t="shared" si="2"/>
        <v>46203</v>
      </c>
      <c r="C84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W12 (27/6 - 3/7)</v>
      </c>
      <c r="D84" s="3" t="s">
        <v>19</v>
      </c>
      <c r="E84" s="3" t="s">
        <v>17</v>
      </c>
      <c r="F84" s="3">
        <v>4</v>
      </c>
      <c r="G84" s="5">
        <v>32</v>
      </c>
    </row>
    <row r="85" spans="1:7" x14ac:dyDescent="0.25">
      <c r="A85" s="4">
        <v>46204</v>
      </c>
      <c r="B85" s="2">
        <f t="shared" si="2"/>
        <v>46204</v>
      </c>
      <c r="C85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W12 (27/6 - 3/7)</v>
      </c>
      <c r="D85" s="3" t="s">
        <v>19</v>
      </c>
      <c r="E85" s="3" t="s">
        <v>17</v>
      </c>
      <c r="F85" s="3">
        <v>2</v>
      </c>
      <c r="G85" s="5">
        <v>16</v>
      </c>
    </row>
    <row r="86" spans="1:7" x14ac:dyDescent="0.25">
      <c r="A86" s="4">
        <v>46205</v>
      </c>
      <c r="B86" s="2">
        <f t="shared" si="2"/>
        <v>46205</v>
      </c>
      <c r="C86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W12 (27/6 - 3/7)</v>
      </c>
      <c r="D86" s="3" t="s">
        <v>19</v>
      </c>
      <c r="E86" s="3" t="s">
        <v>17</v>
      </c>
      <c r="F86" s="3">
        <v>3</v>
      </c>
      <c r="G86" s="5">
        <v>24</v>
      </c>
    </row>
    <row r="87" spans="1:7" x14ac:dyDescent="0.25">
      <c r="A87" s="4">
        <v>46206</v>
      </c>
      <c r="B87" s="2">
        <f t="shared" si="2"/>
        <v>46206</v>
      </c>
      <c r="C87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W12 (27/6 - 3/7)</v>
      </c>
      <c r="D87" s="3" t="s">
        <v>19</v>
      </c>
      <c r="E87" s="3" t="s">
        <v>17</v>
      </c>
      <c r="F87" s="3">
        <v>3</v>
      </c>
      <c r="G87" s="5">
        <v>24</v>
      </c>
    </row>
    <row r="88" spans="1:7" x14ac:dyDescent="0.25">
      <c r="A88" s="4">
        <v>46207</v>
      </c>
      <c r="B88" s="2">
        <f t="shared" si="2"/>
        <v>46207</v>
      </c>
      <c r="C88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W13 (4/7 - 10/7)</v>
      </c>
      <c r="D88" s="3" t="s">
        <v>19</v>
      </c>
      <c r="E88" s="3" t="s">
        <v>17</v>
      </c>
      <c r="F88" s="3">
        <v>0</v>
      </c>
      <c r="G88" s="5">
        <v>0</v>
      </c>
    </row>
    <row r="89" spans="1:7" x14ac:dyDescent="0.25">
      <c r="A89" s="4">
        <v>46208</v>
      </c>
      <c r="B89" s="2">
        <f t="shared" si="2"/>
        <v>46208</v>
      </c>
      <c r="C89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W13 (4/7 - 10/7)</v>
      </c>
      <c r="D89" s="3" t="s">
        <v>19</v>
      </c>
      <c r="E89" s="3" t="s">
        <v>17</v>
      </c>
      <c r="F89" s="3">
        <v>0</v>
      </c>
      <c r="G89" s="5">
        <v>0</v>
      </c>
    </row>
    <row r="90" spans="1:7" x14ac:dyDescent="0.25">
      <c r="A90" s="4">
        <v>46209</v>
      </c>
      <c r="B90" s="2">
        <f t="shared" si="2"/>
        <v>46209</v>
      </c>
      <c r="C90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W13 (4/7 - 10/7)</v>
      </c>
      <c r="D90" s="3" t="s">
        <v>19</v>
      </c>
      <c r="E90" s="3" t="s">
        <v>17</v>
      </c>
      <c r="F90" s="3">
        <v>0</v>
      </c>
      <c r="G90" s="5">
        <v>0</v>
      </c>
    </row>
    <row r="91" spans="1:7" x14ac:dyDescent="0.25">
      <c r="A91" s="4">
        <v>46210</v>
      </c>
      <c r="B91" s="2">
        <f t="shared" si="2"/>
        <v>46210</v>
      </c>
      <c r="C91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W13 (4/7 - 10/7)</v>
      </c>
      <c r="D91" s="3" t="s">
        <v>19</v>
      </c>
      <c r="E91" s="3" t="s">
        <v>17</v>
      </c>
      <c r="F91" s="3">
        <v>0</v>
      </c>
      <c r="G91" s="5">
        <v>0</v>
      </c>
    </row>
    <row r="92" spans="1:7" x14ac:dyDescent="0.25">
      <c r="A92" s="4">
        <v>46211</v>
      </c>
      <c r="B92" s="2">
        <f t="shared" si="2"/>
        <v>46211</v>
      </c>
      <c r="C92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W13 (4/7 - 10/7)</v>
      </c>
      <c r="D92" s="3" t="s">
        <v>19</v>
      </c>
      <c r="E92" s="3" t="s">
        <v>17</v>
      </c>
      <c r="F92" s="3">
        <v>0</v>
      </c>
      <c r="G92" s="5">
        <v>0</v>
      </c>
    </row>
    <row r="93" spans="1:7" x14ac:dyDescent="0.25">
      <c r="A93" s="4">
        <v>46212</v>
      </c>
      <c r="B93" s="2">
        <f t="shared" si="2"/>
        <v>46212</v>
      </c>
      <c r="C93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W13 (4/7 - 10/7)</v>
      </c>
      <c r="D93" s="3" t="s">
        <v>19</v>
      </c>
      <c r="E93" s="3" t="s">
        <v>17</v>
      </c>
      <c r="F93" s="3">
        <v>0</v>
      </c>
      <c r="G93" s="5">
        <v>0</v>
      </c>
    </row>
    <row r="94" spans="1:7" x14ac:dyDescent="0.25">
      <c r="A94" s="4">
        <v>46213</v>
      </c>
      <c r="B94" s="2">
        <f t="shared" si="2"/>
        <v>46213</v>
      </c>
      <c r="C94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W13 (4/7 - 10/7)</v>
      </c>
      <c r="D94" s="3" t="s">
        <v>19</v>
      </c>
      <c r="E94" s="3" t="s">
        <v>17</v>
      </c>
      <c r="F94" s="3">
        <v>0</v>
      </c>
      <c r="G94" s="5">
        <v>0</v>
      </c>
    </row>
    <row r="95" spans="1:7" x14ac:dyDescent="0.25">
      <c r="A95" s="4">
        <v>46214</v>
      </c>
      <c r="B95" s="2">
        <f t="shared" si="2"/>
        <v>46214</v>
      </c>
      <c r="C95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W14 (11/7 - 17/7)</v>
      </c>
      <c r="D95" s="3" t="s">
        <v>19</v>
      </c>
      <c r="E95" s="3" t="s">
        <v>17</v>
      </c>
      <c r="F95" s="3">
        <v>0</v>
      </c>
      <c r="G95" s="5">
        <v>0</v>
      </c>
    </row>
    <row r="96" spans="1:7" x14ac:dyDescent="0.25">
      <c r="A96" s="4">
        <v>46215</v>
      </c>
      <c r="B96" s="2">
        <f t="shared" si="2"/>
        <v>46215</v>
      </c>
      <c r="C96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W14 (11/7 - 17/7)</v>
      </c>
      <c r="D96" s="3" t="s">
        <v>19</v>
      </c>
      <c r="E96" s="3" t="s">
        <v>17</v>
      </c>
      <c r="F96" s="3">
        <v>0</v>
      </c>
      <c r="G96" s="5">
        <v>0</v>
      </c>
    </row>
    <row r="97" spans="1:7" x14ac:dyDescent="0.25">
      <c r="A97" s="4">
        <v>46216</v>
      </c>
      <c r="B97" s="2">
        <f t="shared" si="2"/>
        <v>46216</v>
      </c>
      <c r="C97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W14 (11/7 - 17/7)</v>
      </c>
      <c r="D97" s="3" t="s">
        <v>19</v>
      </c>
      <c r="E97" s="3" t="s">
        <v>17</v>
      </c>
      <c r="F97" s="3">
        <v>0</v>
      </c>
      <c r="G97" s="5">
        <v>0</v>
      </c>
    </row>
    <row r="98" spans="1:7" x14ac:dyDescent="0.25">
      <c r="A98" s="4">
        <v>46217</v>
      </c>
      <c r="B98" s="2">
        <f t="shared" si="2"/>
        <v>46217</v>
      </c>
      <c r="C98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W14 (11/7 - 17/7)</v>
      </c>
      <c r="D98" s="3" t="s">
        <v>19</v>
      </c>
      <c r="E98" s="3" t="s">
        <v>17</v>
      </c>
      <c r="F98" s="3">
        <v>0</v>
      </c>
      <c r="G98" s="5">
        <v>0</v>
      </c>
    </row>
    <row r="99" spans="1:7" x14ac:dyDescent="0.25">
      <c r="A99" s="4">
        <v>46218</v>
      </c>
      <c r="B99" s="2">
        <f t="shared" si="2"/>
        <v>46218</v>
      </c>
      <c r="C99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W14 (11/7 - 17/7)</v>
      </c>
      <c r="D99" s="3" t="s">
        <v>19</v>
      </c>
      <c r="E99" s="3" t="s">
        <v>17</v>
      </c>
      <c r="F99" s="3">
        <v>0</v>
      </c>
      <c r="G99" s="5">
        <v>0</v>
      </c>
    </row>
    <row r="100" spans="1:7" x14ac:dyDescent="0.25">
      <c r="A100" s="4">
        <v>46219</v>
      </c>
      <c r="B100" s="2">
        <f t="shared" si="2"/>
        <v>46219</v>
      </c>
      <c r="C100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W14 (11/7 - 17/7)</v>
      </c>
      <c r="D100" s="3" t="s">
        <v>19</v>
      </c>
      <c r="E100" s="3" t="s">
        <v>17</v>
      </c>
      <c r="F100" s="3">
        <v>0</v>
      </c>
      <c r="G100" s="5">
        <v>0</v>
      </c>
    </row>
    <row r="101" spans="1:7" x14ac:dyDescent="0.25">
      <c r="A101" s="4">
        <v>46220</v>
      </c>
      <c r="B101" s="2">
        <f t="shared" si="2"/>
        <v>46220</v>
      </c>
      <c r="C101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W14 (11/7 - 17/7)</v>
      </c>
      <c r="D101" s="3" t="s">
        <v>19</v>
      </c>
      <c r="E101" s="3" t="s">
        <v>17</v>
      </c>
      <c r="F101" s="3">
        <v>0</v>
      </c>
      <c r="G101" s="5">
        <v>0</v>
      </c>
    </row>
    <row r="102" spans="1:7" x14ac:dyDescent="0.25">
      <c r="A102" s="4">
        <v>46221</v>
      </c>
      <c r="B102" s="2">
        <f t="shared" ref="B102:B133" si="3">A102</f>
        <v>46221</v>
      </c>
      <c r="C102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W15 (18/7 - 24/7)</v>
      </c>
      <c r="D102" s="3" t="s">
        <v>19</v>
      </c>
      <c r="E102" s="3" t="s">
        <v>17</v>
      </c>
      <c r="F102" s="3">
        <v>0</v>
      </c>
      <c r="G102" s="5">
        <v>0</v>
      </c>
    </row>
    <row r="103" spans="1:7" x14ac:dyDescent="0.25">
      <c r="A103" s="4">
        <v>46222</v>
      </c>
      <c r="B103" s="2">
        <f t="shared" si="3"/>
        <v>46222</v>
      </c>
      <c r="C103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W15 (18/7 - 24/7)</v>
      </c>
      <c r="D103" s="3" t="s">
        <v>19</v>
      </c>
      <c r="E103" s="3" t="s">
        <v>17</v>
      </c>
      <c r="F103" s="3">
        <v>0</v>
      </c>
      <c r="G103" s="5">
        <v>0</v>
      </c>
    </row>
    <row r="104" spans="1:7" x14ac:dyDescent="0.25">
      <c r="A104" s="4">
        <v>46223</v>
      </c>
      <c r="B104" s="2">
        <f t="shared" si="3"/>
        <v>46223</v>
      </c>
      <c r="C104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W15 (18/7 - 24/7)</v>
      </c>
      <c r="D104" s="3" t="s">
        <v>19</v>
      </c>
      <c r="E104" s="3" t="s">
        <v>17</v>
      </c>
      <c r="F104" s="3">
        <v>0</v>
      </c>
      <c r="G104" s="5">
        <v>0</v>
      </c>
    </row>
    <row r="105" spans="1:7" x14ac:dyDescent="0.25">
      <c r="A105" s="4">
        <v>46224</v>
      </c>
      <c r="B105" s="2">
        <f t="shared" si="3"/>
        <v>46224</v>
      </c>
      <c r="C105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W15 (18/7 - 24/7)</v>
      </c>
      <c r="D105" s="3" t="s">
        <v>19</v>
      </c>
      <c r="E105" s="3" t="s">
        <v>17</v>
      </c>
      <c r="F105" s="3">
        <v>0</v>
      </c>
      <c r="G105" s="5">
        <v>0</v>
      </c>
    </row>
    <row r="106" spans="1:7" x14ac:dyDescent="0.25">
      <c r="A106" s="4">
        <v>46225</v>
      </c>
      <c r="B106" s="2">
        <f t="shared" si="3"/>
        <v>46225</v>
      </c>
      <c r="C106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W15 (18/7 - 24/7)</v>
      </c>
      <c r="D106" s="3" t="s">
        <v>19</v>
      </c>
      <c r="E106" s="3" t="s">
        <v>17</v>
      </c>
      <c r="F106" s="3">
        <v>0</v>
      </c>
      <c r="G106" s="5">
        <v>0</v>
      </c>
    </row>
    <row r="107" spans="1:7" x14ac:dyDescent="0.25">
      <c r="A107" s="4">
        <v>46226</v>
      </c>
      <c r="B107" s="2">
        <f t="shared" si="3"/>
        <v>46226</v>
      </c>
      <c r="C107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W15 (18/7 - 24/7)</v>
      </c>
      <c r="D107" s="3" t="s">
        <v>19</v>
      </c>
      <c r="E107" s="3" t="s">
        <v>17</v>
      </c>
      <c r="F107" s="3">
        <v>0</v>
      </c>
      <c r="G107" s="5">
        <v>0</v>
      </c>
    </row>
    <row r="108" spans="1:7" x14ac:dyDescent="0.25">
      <c r="A108" s="4">
        <v>46227</v>
      </c>
      <c r="B108" s="2">
        <f t="shared" si="3"/>
        <v>46227</v>
      </c>
      <c r="C108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W15 (18/7 - 24/7)</v>
      </c>
      <c r="D108" s="3" t="s">
        <v>19</v>
      </c>
      <c r="E108" s="3" t="s">
        <v>17</v>
      </c>
      <c r="F108" s="3">
        <v>0</v>
      </c>
      <c r="G108" s="5">
        <v>0</v>
      </c>
    </row>
    <row r="109" spans="1:7" x14ac:dyDescent="0.25">
      <c r="A109" s="4">
        <v>46228</v>
      </c>
      <c r="B109" s="2">
        <f t="shared" si="3"/>
        <v>46228</v>
      </c>
      <c r="C109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W16 (25/7 - 31/7)</v>
      </c>
      <c r="D109" s="3" t="s">
        <v>19</v>
      </c>
      <c r="E109" s="3" t="s">
        <v>17</v>
      </c>
      <c r="F109" s="3">
        <v>0</v>
      </c>
      <c r="G109" s="5">
        <v>0</v>
      </c>
    </row>
    <row r="110" spans="1:7" x14ac:dyDescent="0.25">
      <c r="A110" s="4">
        <v>46229</v>
      </c>
      <c r="B110" s="2">
        <f t="shared" si="3"/>
        <v>46229</v>
      </c>
      <c r="C110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W16 (25/7 - 31/7)</v>
      </c>
      <c r="D110" s="3" t="s">
        <v>19</v>
      </c>
      <c r="E110" s="3" t="s">
        <v>17</v>
      </c>
      <c r="F110" s="3">
        <v>0</v>
      </c>
      <c r="G110" s="5">
        <v>0</v>
      </c>
    </row>
    <row r="111" spans="1:7" x14ac:dyDescent="0.25">
      <c r="A111" s="4">
        <v>46230</v>
      </c>
      <c r="B111" s="2">
        <f t="shared" si="3"/>
        <v>46230</v>
      </c>
      <c r="C111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W16 (25/7 - 31/7)</v>
      </c>
      <c r="D111" s="3" t="s">
        <v>19</v>
      </c>
      <c r="E111" s="3" t="s">
        <v>17</v>
      </c>
      <c r="F111" s="3">
        <v>0</v>
      </c>
      <c r="G111" s="5">
        <v>0</v>
      </c>
    </row>
    <row r="112" spans="1:7" x14ac:dyDescent="0.25">
      <c r="A112" s="4">
        <v>46231</v>
      </c>
      <c r="B112" s="2">
        <f t="shared" si="3"/>
        <v>46231</v>
      </c>
      <c r="C112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W16 (25/7 - 31/7)</v>
      </c>
      <c r="D112" s="3" t="s">
        <v>19</v>
      </c>
      <c r="E112" s="3" t="s">
        <v>17</v>
      </c>
      <c r="F112" s="3">
        <v>0</v>
      </c>
      <c r="G112" s="5">
        <v>0</v>
      </c>
    </row>
    <row r="113" spans="1:7" x14ac:dyDescent="0.25">
      <c r="A113" s="4">
        <v>46232</v>
      </c>
      <c r="B113" s="2">
        <f t="shared" si="3"/>
        <v>46232</v>
      </c>
      <c r="C113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W16 (25/7 - 31/7)</v>
      </c>
      <c r="D113" s="3" t="s">
        <v>19</v>
      </c>
      <c r="E113" s="3" t="s">
        <v>17</v>
      </c>
      <c r="F113" s="3">
        <v>0</v>
      </c>
      <c r="G113" s="5">
        <v>0</v>
      </c>
    </row>
    <row r="114" spans="1:7" x14ac:dyDescent="0.25">
      <c r="A114" s="4">
        <v>46233</v>
      </c>
      <c r="B114" s="2">
        <f t="shared" si="3"/>
        <v>46233</v>
      </c>
      <c r="C114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W16 (25/7 - 31/7)</v>
      </c>
      <c r="D114" s="3" t="s">
        <v>19</v>
      </c>
      <c r="E114" s="3" t="s">
        <v>17</v>
      </c>
      <c r="F114" s="3">
        <v>0</v>
      </c>
      <c r="G114" s="5">
        <v>0</v>
      </c>
    </row>
    <row r="115" spans="1:7" x14ac:dyDescent="0.25">
      <c r="A115" s="9">
        <v>46234</v>
      </c>
      <c r="B115" s="10">
        <f t="shared" si="3"/>
        <v>46234</v>
      </c>
      <c r="C115" s="11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W16 (25/7 - 31/7)</v>
      </c>
      <c r="D115" s="3" t="s">
        <v>19</v>
      </c>
      <c r="E115" s="11" t="s">
        <v>17</v>
      </c>
      <c r="F115" s="3">
        <v>0</v>
      </c>
      <c r="G115" s="5">
        <v>0</v>
      </c>
    </row>
    <row r="116" spans="1:7" x14ac:dyDescent="0.25">
      <c r="A116" s="4">
        <v>46235</v>
      </c>
      <c r="B116" s="2">
        <f t="shared" si="3"/>
        <v>46235</v>
      </c>
      <c r="C116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W17 (1/8 - 7/8)</v>
      </c>
      <c r="D116" s="3" t="s">
        <v>19</v>
      </c>
      <c r="E116" s="11" t="s">
        <v>17</v>
      </c>
      <c r="F116" s="3">
        <v>0</v>
      </c>
      <c r="G116" s="5">
        <v>0</v>
      </c>
    </row>
    <row r="117" spans="1:7" x14ac:dyDescent="0.25">
      <c r="A117" s="9">
        <v>46236</v>
      </c>
      <c r="B117" s="2">
        <f t="shared" si="3"/>
        <v>46236</v>
      </c>
      <c r="C117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W17 (1/8 - 7/8)</v>
      </c>
      <c r="D117" s="3" t="s">
        <v>19</v>
      </c>
      <c r="E117" s="11" t="s">
        <v>17</v>
      </c>
      <c r="F117" s="3">
        <v>0</v>
      </c>
      <c r="G117" s="5">
        <v>0</v>
      </c>
    </row>
    <row r="118" spans="1:7" x14ac:dyDescent="0.25">
      <c r="A118" s="4">
        <v>46237</v>
      </c>
      <c r="B118" s="2">
        <f t="shared" si="3"/>
        <v>46237</v>
      </c>
      <c r="C118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W17 (1/8 - 7/8)</v>
      </c>
      <c r="D118" s="3" t="s">
        <v>19</v>
      </c>
      <c r="E118" s="11" t="s">
        <v>17</v>
      </c>
      <c r="F118" s="3">
        <v>0</v>
      </c>
      <c r="G118" s="5">
        <v>0</v>
      </c>
    </row>
    <row r="119" spans="1:7" x14ac:dyDescent="0.25">
      <c r="A119" s="9">
        <v>46238</v>
      </c>
      <c r="B119" s="2">
        <f t="shared" si="3"/>
        <v>46238</v>
      </c>
      <c r="C119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W17 (1/8 - 7/8)</v>
      </c>
      <c r="D119" s="3" t="s">
        <v>19</v>
      </c>
      <c r="E119" s="11" t="s">
        <v>17</v>
      </c>
      <c r="F119" s="3">
        <v>0</v>
      </c>
      <c r="G119" s="5">
        <v>0</v>
      </c>
    </row>
    <row r="120" spans="1:7" x14ac:dyDescent="0.25">
      <c r="A120" s="4">
        <v>46239</v>
      </c>
      <c r="B120" s="2">
        <f t="shared" si="3"/>
        <v>46239</v>
      </c>
      <c r="C120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W17 (1/8 - 7/8)</v>
      </c>
      <c r="D120" s="3" t="s">
        <v>19</v>
      </c>
      <c r="E120" s="11" t="s">
        <v>17</v>
      </c>
      <c r="F120" s="3">
        <v>0</v>
      </c>
      <c r="G120" s="5">
        <v>0</v>
      </c>
    </row>
    <row r="121" spans="1:7" x14ac:dyDescent="0.25">
      <c r="A121" s="9">
        <v>46240</v>
      </c>
      <c r="B121" s="2">
        <f t="shared" si="3"/>
        <v>46240</v>
      </c>
      <c r="C121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W17 (1/8 - 7/8)</v>
      </c>
      <c r="D121" s="3" t="s">
        <v>19</v>
      </c>
      <c r="E121" s="11" t="s">
        <v>17</v>
      </c>
      <c r="F121" s="3">
        <v>0</v>
      </c>
      <c r="G121" s="5">
        <v>0</v>
      </c>
    </row>
    <row r="122" spans="1:7" x14ac:dyDescent="0.25">
      <c r="A122" s="4">
        <v>46241</v>
      </c>
      <c r="B122" s="2">
        <f t="shared" si="3"/>
        <v>46241</v>
      </c>
      <c r="C122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W17 (1/8 - 7/8)</v>
      </c>
      <c r="D122" s="3" t="s">
        <v>19</v>
      </c>
      <c r="E122" s="11" t="s">
        <v>17</v>
      </c>
      <c r="F122" s="3">
        <v>0</v>
      </c>
      <c r="G122" s="5">
        <v>0</v>
      </c>
    </row>
    <row r="123" spans="1:7" x14ac:dyDescent="0.25">
      <c r="A123" s="9">
        <v>46242</v>
      </c>
      <c r="B123" s="2">
        <f t="shared" si="3"/>
        <v>46242</v>
      </c>
      <c r="C123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W18 (8/8 - 14/8)</v>
      </c>
      <c r="D123" s="3" t="s">
        <v>19</v>
      </c>
      <c r="E123" s="11" t="s">
        <v>17</v>
      </c>
      <c r="F123" s="3">
        <v>0</v>
      </c>
      <c r="G123" s="5">
        <v>0</v>
      </c>
    </row>
    <row r="124" spans="1:7" x14ac:dyDescent="0.25">
      <c r="A124" s="4">
        <v>46243</v>
      </c>
      <c r="B124" s="2">
        <f t="shared" si="3"/>
        <v>46243</v>
      </c>
      <c r="C124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W18 (8/8 - 14/8)</v>
      </c>
      <c r="D124" s="3" t="s">
        <v>19</v>
      </c>
      <c r="E124" s="11" t="s">
        <v>17</v>
      </c>
      <c r="F124" s="3">
        <v>0</v>
      </c>
      <c r="G124" s="5">
        <v>0</v>
      </c>
    </row>
    <row r="125" spans="1:7" x14ac:dyDescent="0.25">
      <c r="A125" s="4">
        <v>46244</v>
      </c>
      <c r="B125" s="2">
        <f t="shared" si="3"/>
        <v>46244</v>
      </c>
      <c r="C125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W18 (8/8 - 14/8)</v>
      </c>
      <c r="D125" s="3" t="s">
        <v>19</v>
      </c>
      <c r="E125" s="11" t="s">
        <v>17</v>
      </c>
      <c r="F125" s="3">
        <v>0</v>
      </c>
      <c r="G125" s="5">
        <v>0</v>
      </c>
    </row>
    <row r="126" spans="1:7" x14ac:dyDescent="0.25">
      <c r="A126" s="4">
        <v>46245</v>
      </c>
      <c r="B126" s="2">
        <f t="shared" si="3"/>
        <v>46245</v>
      </c>
      <c r="C126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W18 (8/8 - 14/8)</v>
      </c>
      <c r="D126" s="3" t="s">
        <v>19</v>
      </c>
      <c r="E126" s="11" t="s">
        <v>17</v>
      </c>
      <c r="F126" s="3">
        <v>0</v>
      </c>
      <c r="G126" s="5">
        <v>0</v>
      </c>
    </row>
    <row r="127" spans="1:7" x14ac:dyDescent="0.25">
      <c r="A127" s="4">
        <v>46246</v>
      </c>
      <c r="B127" s="2">
        <f t="shared" si="3"/>
        <v>46246</v>
      </c>
      <c r="C127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W18 (8/8 - 14/8)</v>
      </c>
      <c r="D127" s="3" t="s">
        <v>19</v>
      </c>
      <c r="E127" s="11" t="s">
        <v>17</v>
      </c>
      <c r="F127" s="3">
        <v>0</v>
      </c>
      <c r="G127" s="5">
        <v>0</v>
      </c>
    </row>
    <row r="128" spans="1:7" x14ac:dyDescent="0.25">
      <c r="A128" s="4">
        <v>46247</v>
      </c>
      <c r="B128" s="2">
        <f t="shared" si="3"/>
        <v>46247</v>
      </c>
      <c r="C128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W18 (8/8 - 14/8)</v>
      </c>
      <c r="D128" s="3" t="s">
        <v>19</v>
      </c>
      <c r="E128" s="11" t="s">
        <v>17</v>
      </c>
      <c r="F128" s="3">
        <v>0</v>
      </c>
      <c r="G128" s="5">
        <v>0</v>
      </c>
    </row>
    <row r="129" spans="1:7" x14ac:dyDescent="0.25">
      <c r="A129" s="4">
        <v>46248</v>
      </c>
      <c r="B129" s="2">
        <f t="shared" si="3"/>
        <v>46248</v>
      </c>
      <c r="C129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W18 (8/8 - 14/8)</v>
      </c>
      <c r="D129" s="3" t="s">
        <v>19</v>
      </c>
      <c r="E129" s="11" t="s">
        <v>17</v>
      </c>
      <c r="F129" s="3">
        <v>0</v>
      </c>
      <c r="G129" s="5">
        <v>0</v>
      </c>
    </row>
    <row r="130" spans="1:7" x14ac:dyDescent="0.25">
      <c r="A130" s="4">
        <v>46249</v>
      </c>
      <c r="B130" s="2">
        <f t="shared" si="3"/>
        <v>46249</v>
      </c>
      <c r="C130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W19 (15/8 - 21/8)</v>
      </c>
      <c r="D130" s="3" t="s">
        <v>19</v>
      </c>
      <c r="E130" s="11" t="s">
        <v>17</v>
      </c>
      <c r="F130" s="3">
        <v>0</v>
      </c>
      <c r="G130" s="5">
        <v>0</v>
      </c>
    </row>
    <row r="131" spans="1:7" x14ac:dyDescent="0.25">
      <c r="A131" s="4">
        <v>46250</v>
      </c>
      <c r="B131" s="2">
        <f t="shared" si="3"/>
        <v>46250</v>
      </c>
      <c r="C131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W19 (15/8 - 21/8)</v>
      </c>
      <c r="D131" s="3" t="s">
        <v>19</v>
      </c>
      <c r="E131" s="11" t="s">
        <v>17</v>
      </c>
      <c r="F131" s="3">
        <v>0</v>
      </c>
      <c r="G131" s="5">
        <v>0</v>
      </c>
    </row>
    <row r="132" spans="1:7" x14ac:dyDescent="0.25">
      <c r="A132" s="4">
        <v>46251</v>
      </c>
      <c r="B132" s="2">
        <f t="shared" si="3"/>
        <v>46251</v>
      </c>
      <c r="C132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W19 (15/8 - 21/8)</v>
      </c>
      <c r="D132" s="3" t="s">
        <v>19</v>
      </c>
      <c r="E132" s="11" t="s">
        <v>17</v>
      </c>
      <c r="F132" s="3">
        <v>0</v>
      </c>
      <c r="G132" s="5">
        <v>0</v>
      </c>
    </row>
    <row r="133" spans="1:7" x14ac:dyDescent="0.25">
      <c r="A133" s="4">
        <v>46252</v>
      </c>
      <c r="B133" s="2">
        <f t="shared" si="3"/>
        <v>46252</v>
      </c>
      <c r="C133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W19 (15/8 - 21/8)</v>
      </c>
      <c r="D133" s="3" t="s">
        <v>19</v>
      </c>
      <c r="E133" s="11" t="s">
        <v>17</v>
      </c>
      <c r="F133" s="3">
        <v>0</v>
      </c>
      <c r="G133" s="5">
        <v>0</v>
      </c>
    </row>
    <row r="134" spans="1:7" x14ac:dyDescent="0.25">
      <c r="A134" s="4">
        <v>46253</v>
      </c>
      <c r="B134" s="2">
        <f t="shared" ref="B134:B165" si="4">A134</f>
        <v>46253</v>
      </c>
      <c r="C134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W19 (15/8 - 21/8)</v>
      </c>
      <c r="D134" s="3" t="s">
        <v>19</v>
      </c>
      <c r="E134" s="11" t="s">
        <v>17</v>
      </c>
      <c r="F134" s="3">
        <v>0</v>
      </c>
      <c r="G134" s="5">
        <v>0</v>
      </c>
    </row>
    <row r="135" spans="1:7" x14ac:dyDescent="0.25">
      <c r="A135" s="4">
        <v>46254</v>
      </c>
      <c r="B135" s="2">
        <f t="shared" si="4"/>
        <v>46254</v>
      </c>
      <c r="C135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W19 (15/8 - 21/8)</v>
      </c>
      <c r="D135" s="3" t="s">
        <v>19</v>
      </c>
      <c r="E135" s="11" t="s">
        <v>17</v>
      </c>
      <c r="F135" s="3">
        <v>0</v>
      </c>
      <c r="G135" s="5">
        <v>0</v>
      </c>
    </row>
    <row r="136" spans="1:7" x14ac:dyDescent="0.25">
      <c r="A136" s="4">
        <v>46255</v>
      </c>
      <c r="B136" s="2">
        <f t="shared" si="4"/>
        <v>46255</v>
      </c>
      <c r="C136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W19 (15/8 - 21/8)</v>
      </c>
      <c r="D136" s="3" t="s">
        <v>19</v>
      </c>
      <c r="E136" s="11" t="s">
        <v>17</v>
      </c>
      <c r="F136" s="3">
        <v>0</v>
      </c>
      <c r="G136" s="5">
        <v>0</v>
      </c>
    </row>
    <row r="137" spans="1:7" x14ac:dyDescent="0.25">
      <c r="A137" s="4">
        <v>46256</v>
      </c>
      <c r="B137" s="2">
        <f t="shared" si="4"/>
        <v>46256</v>
      </c>
      <c r="C137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W20 (22/8 - 28/8)</v>
      </c>
      <c r="D137" s="3" t="s">
        <v>19</v>
      </c>
      <c r="E137" s="11" t="s">
        <v>17</v>
      </c>
      <c r="F137" s="3">
        <v>0</v>
      </c>
      <c r="G137" s="5">
        <v>0</v>
      </c>
    </row>
    <row r="138" spans="1:7" x14ac:dyDescent="0.25">
      <c r="A138" s="4">
        <v>46257</v>
      </c>
      <c r="B138" s="2">
        <f t="shared" si="4"/>
        <v>46257</v>
      </c>
      <c r="C138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W20 (22/8 - 28/8)</v>
      </c>
      <c r="D138" s="3" t="s">
        <v>19</v>
      </c>
      <c r="E138" s="11" t="s">
        <v>17</v>
      </c>
      <c r="F138" s="3">
        <v>0</v>
      </c>
      <c r="G138" s="5">
        <v>0</v>
      </c>
    </row>
    <row r="139" spans="1:7" x14ac:dyDescent="0.25">
      <c r="A139" s="4">
        <v>46258</v>
      </c>
      <c r="B139" s="2">
        <f t="shared" si="4"/>
        <v>46258</v>
      </c>
      <c r="C139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W20 (22/8 - 28/8)</v>
      </c>
      <c r="D139" s="3" t="s">
        <v>19</v>
      </c>
      <c r="E139" s="11" t="s">
        <v>17</v>
      </c>
      <c r="F139" s="3">
        <v>0</v>
      </c>
      <c r="G139" s="5">
        <v>0</v>
      </c>
    </row>
    <row r="140" spans="1:7" x14ac:dyDescent="0.25">
      <c r="A140" s="4">
        <v>46259</v>
      </c>
      <c r="B140" s="2">
        <f t="shared" si="4"/>
        <v>46259</v>
      </c>
      <c r="C140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W20 (22/8 - 28/8)</v>
      </c>
      <c r="D140" s="3" t="s">
        <v>19</v>
      </c>
      <c r="E140" s="11" t="s">
        <v>17</v>
      </c>
      <c r="F140" s="3">
        <v>0</v>
      </c>
      <c r="G140" s="5">
        <v>0</v>
      </c>
    </row>
    <row r="141" spans="1:7" x14ac:dyDescent="0.25">
      <c r="A141" s="4">
        <v>46260</v>
      </c>
      <c r="B141" s="2">
        <f t="shared" si="4"/>
        <v>46260</v>
      </c>
      <c r="C141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W20 (22/8 - 28/8)</v>
      </c>
      <c r="D141" s="3" t="s">
        <v>19</v>
      </c>
      <c r="E141" s="11" t="s">
        <v>17</v>
      </c>
      <c r="F141" s="3">
        <v>0</v>
      </c>
      <c r="G141" s="5">
        <v>0</v>
      </c>
    </row>
    <row r="142" spans="1:7" x14ac:dyDescent="0.25">
      <c r="A142" s="4">
        <v>46261</v>
      </c>
      <c r="B142" s="2">
        <f t="shared" si="4"/>
        <v>46261</v>
      </c>
      <c r="C142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W20 (22/8 - 28/8)</v>
      </c>
      <c r="D142" s="3" t="s">
        <v>19</v>
      </c>
      <c r="E142" s="11" t="s">
        <v>17</v>
      </c>
      <c r="F142" s="3">
        <v>0</v>
      </c>
      <c r="G142" s="5">
        <v>0</v>
      </c>
    </row>
    <row r="143" spans="1:7" x14ac:dyDescent="0.25">
      <c r="A143" s="4">
        <v>46262</v>
      </c>
      <c r="B143" s="2">
        <f t="shared" si="4"/>
        <v>46262</v>
      </c>
      <c r="C143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W20 (22/8 - 28/8)</v>
      </c>
      <c r="D143" s="3" t="s">
        <v>19</v>
      </c>
      <c r="E143" s="11" t="s">
        <v>17</v>
      </c>
      <c r="F143" s="3">
        <v>0</v>
      </c>
      <c r="G143" s="5">
        <v>0</v>
      </c>
    </row>
    <row r="144" spans="1:7" x14ac:dyDescent="0.25">
      <c r="A144" s="4">
        <v>46263</v>
      </c>
      <c r="B144" s="2">
        <f t="shared" si="4"/>
        <v>46263</v>
      </c>
      <c r="C144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W21 (29/8 - 4/9)</v>
      </c>
      <c r="D144" s="3" t="s">
        <v>19</v>
      </c>
      <c r="E144" s="11" t="s">
        <v>17</v>
      </c>
      <c r="F144" s="3">
        <v>0</v>
      </c>
      <c r="G144" s="5">
        <v>0</v>
      </c>
    </row>
    <row r="145" spans="1:7" x14ac:dyDescent="0.25">
      <c r="A145" s="4">
        <v>46264</v>
      </c>
      <c r="B145" s="2">
        <f t="shared" si="4"/>
        <v>46264</v>
      </c>
      <c r="C145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W21 (29/8 - 4/9)</v>
      </c>
      <c r="D145" s="3" t="s">
        <v>19</v>
      </c>
      <c r="E145" s="11" t="s">
        <v>17</v>
      </c>
      <c r="F145" s="3">
        <v>0</v>
      </c>
      <c r="G145" s="5">
        <v>0</v>
      </c>
    </row>
    <row r="146" spans="1:7" x14ac:dyDescent="0.25">
      <c r="A146" s="4">
        <v>46265</v>
      </c>
      <c r="B146" s="2">
        <f t="shared" si="4"/>
        <v>46265</v>
      </c>
      <c r="C146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W21 (29/8 - 4/9)</v>
      </c>
      <c r="D146" s="3" t="s">
        <v>19</v>
      </c>
      <c r="E146" s="11" t="s">
        <v>17</v>
      </c>
      <c r="F146" s="3">
        <v>0</v>
      </c>
      <c r="G146" s="5">
        <v>0</v>
      </c>
    </row>
    <row r="147" spans="1:7" x14ac:dyDescent="0.25">
      <c r="A147" s="4">
        <v>46266</v>
      </c>
      <c r="B147" s="2">
        <f t="shared" si="4"/>
        <v>46266</v>
      </c>
      <c r="C147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W21 (29/8 - 4/9)</v>
      </c>
      <c r="D147" s="3" t="s">
        <v>19</v>
      </c>
      <c r="E147" s="11" t="s">
        <v>17</v>
      </c>
      <c r="F147" s="3">
        <v>0</v>
      </c>
      <c r="G147" s="5">
        <v>0</v>
      </c>
    </row>
    <row r="148" spans="1:7" x14ac:dyDescent="0.25">
      <c r="A148" s="4">
        <v>46267</v>
      </c>
      <c r="B148" s="2">
        <f t="shared" si="4"/>
        <v>46267</v>
      </c>
      <c r="C148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W21 (29/8 - 4/9)</v>
      </c>
      <c r="D148" s="3" t="s">
        <v>19</v>
      </c>
      <c r="E148" s="11" t="s">
        <v>17</v>
      </c>
      <c r="F148" s="3">
        <v>0</v>
      </c>
      <c r="G148" s="5">
        <v>0</v>
      </c>
    </row>
    <row r="149" spans="1:7" x14ac:dyDescent="0.25">
      <c r="A149" s="4">
        <v>46268</v>
      </c>
      <c r="B149" s="2">
        <f t="shared" si="4"/>
        <v>46268</v>
      </c>
      <c r="C149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W21 (29/8 - 4/9)</v>
      </c>
      <c r="D149" s="3" t="s">
        <v>19</v>
      </c>
      <c r="E149" s="11" t="s">
        <v>17</v>
      </c>
      <c r="F149" s="3">
        <v>0</v>
      </c>
      <c r="G149" s="5">
        <v>0</v>
      </c>
    </row>
    <row r="150" spans="1:7" x14ac:dyDescent="0.25">
      <c r="A150" s="4">
        <v>46269</v>
      </c>
      <c r="B150" s="2">
        <f t="shared" si="4"/>
        <v>46269</v>
      </c>
      <c r="C150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W21 (29/8 - 4/9)</v>
      </c>
      <c r="D150" s="3" t="s">
        <v>19</v>
      </c>
      <c r="E150" s="11" t="s">
        <v>17</v>
      </c>
      <c r="F150" s="3">
        <v>0</v>
      </c>
      <c r="G150" s="5">
        <v>0</v>
      </c>
    </row>
    <row r="151" spans="1:7" x14ac:dyDescent="0.25">
      <c r="A151" s="4">
        <v>46270</v>
      </c>
      <c r="B151" s="2">
        <f t="shared" si="4"/>
        <v>46270</v>
      </c>
      <c r="C151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W22 (5/9 - 11/9)</v>
      </c>
      <c r="D151" s="3" t="s">
        <v>19</v>
      </c>
      <c r="E151" s="11" t="s">
        <v>17</v>
      </c>
      <c r="F151" s="3">
        <v>0</v>
      </c>
      <c r="G151" s="5">
        <v>0</v>
      </c>
    </row>
    <row r="152" spans="1:7" x14ac:dyDescent="0.25">
      <c r="A152" s="4">
        <v>46271</v>
      </c>
      <c r="B152" s="2">
        <f t="shared" si="4"/>
        <v>46271</v>
      </c>
      <c r="C152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W22 (5/9 - 11/9)</v>
      </c>
      <c r="D152" s="3" t="s">
        <v>19</v>
      </c>
      <c r="E152" s="11" t="s">
        <v>17</v>
      </c>
      <c r="F152" s="3">
        <v>0</v>
      </c>
      <c r="G152" s="5">
        <v>0</v>
      </c>
    </row>
    <row r="153" spans="1:7" x14ac:dyDescent="0.25">
      <c r="A153" s="4">
        <v>46272</v>
      </c>
      <c r="B153" s="2">
        <f t="shared" si="4"/>
        <v>46272</v>
      </c>
      <c r="C153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W22 (5/9 - 11/9)</v>
      </c>
      <c r="D153" s="3" t="s">
        <v>19</v>
      </c>
      <c r="E153" s="11" t="s">
        <v>17</v>
      </c>
      <c r="F153" s="3">
        <v>0</v>
      </c>
      <c r="G153" s="5">
        <v>0</v>
      </c>
    </row>
    <row r="154" spans="1:7" x14ac:dyDescent="0.25">
      <c r="A154" s="4">
        <v>46273</v>
      </c>
      <c r="B154" s="2">
        <f t="shared" si="4"/>
        <v>46273</v>
      </c>
      <c r="C154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W22 (5/9 - 11/9)</v>
      </c>
      <c r="D154" s="3" t="s">
        <v>19</v>
      </c>
      <c r="E154" s="11" t="s">
        <v>17</v>
      </c>
      <c r="F154" s="3">
        <v>0</v>
      </c>
      <c r="G154" s="5">
        <v>0</v>
      </c>
    </row>
    <row r="155" spans="1:7" x14ac:dyDescent="0.25">
      <c r="A155" s="4">
        <v>46274</v>
      </c>
      <c r="B155" s="2">
        <f t="shared" si="4"/>
        <v>46274</v>
      </c>
      <c r="C155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W22 (5/9 - 11/9)</v>
      </c>
      <c r="D155" s="3" t="s">
        <v>19</v>
      </c>
      <c r="E155" s="11" t="s">
        <v>17</v>
      </c>
      <c r="F155" s="3">
        <v>0</v>
      </c>
      <c r="G155" s="5">
        <v>0</v>
      </c>
    </row>
    <row r="156" spans="1:7" x14ac:dyDescent="0.25">
      <c r="A156" s="4">
        <v>46275</v>
      </c>
      <c r="B156" s="2">
        <f t="shared" si="4"/>
        <v>46275</v>
      </c>
      <c r="C156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W22 (5/9 - 11/9)</v>
      </c>
      <c r="D156" s="3" t="s">
        <v>19</v>
      </c>
      <c r="E156" s="11" t="s">
        <v>17</v>
      </c>
      <c r="F156" s="3">
        <v>0</v>
      </c>
      <c r="G156" s="5">
        <v>0</v>
      </c>
    </row>
    <row r="157" spans="1:7" x14ac:dyDescent="0.25">
      <c r="A157" s="4">
        <v>46276</v>
      </c>
      <c r="B157" s="2">
        <f t="shared" si="4"/>
        <v>46276</v>
      </c>
      <c r="C157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W22 (5/9 - 11/9)</v>
      </c>
      <c r="D157" s="3" t="s">
        <v>19</v>
      </c>
      <c r="E157" s="11" t="s">
        <v>17</v>
      </c>
      <c r="F157" s="3">
        <v>0</v>
      </c>
      <c r="G157" s="5">
        <v>0</v>
      </c>
    </row>
    <row r="158" spans="1:7" x14ac:dyDescent="0.25">
      <c r="A158" s="4">
        <v>46277</v>
      </c>
      <c r="B158" s="2">
        <f t="shared" si="4"/>
        <v>46277</v>
      </c>
      <c r="C158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W23 (12/9 - 18/9)</v>
      </c>
      <c r="D158" s="3" t="s">
        <v>19</v>
      </c>
      <c r="E158" s="11" t="s">
        <v>17</v>
      </c>
      <c r="F158" s="3">
        <v>0</v>
      </c>
      <c r="G158" s="5">
        <v>0</v>
      </c>
    </row>
    <row r="159" spans="1:7" x14ac:dyDescent="0.25">
      <c r="A159" s="4">
        <v>46278</v>
      </c>
      <c r="B159" s="2">
        <f t="shared" si="4"/>
        <v>46278</v>
      </c>
      <c r="C159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W23 (12/9 - 18/9)</v>
      </c>
      <c r="D159" s="3" t="s">
        <v>19</v>
      </c>
      <c r="E159" s="11" t="s">
        <v>17</v>
      </c>
      <c r="F159" s="3">
        <v>0</v>
      </c>
      <c r="G159" s="5">
        <v>0</v>
      </c>
    </row>
    <row r="160" spans="1:7" x14ac:dyDescent="0.25">
      <c r="A160" s="4">
        <v>46279</v>
      </c>
      <c r="B160" s="2">
        <f t="shared" si="4"/>
        <v>46279</v>
      </c>
      <c r="C160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W23 (12/9 - 18/9)</v>
      </c>
      <c r="D160" s="3" t="s">
        <v>19</v>
      </c>
      <c r="E160" s="11" t="s">
        <v>17</v>
      </c>
      <c r="F160" s="3">
        <v>0</v>
      </c>
      <c r="G160" s="5">
        <v>0</v>
      </c>
    </row>
    <row r="161" spans="1:7" x14ac:dyDescent="0.25">
      <c r="A161" s="4">
        <v>46280</v>
      </c>
      <c r="B161" s="2">
        <f t="shared" si="4"/>
        <v>46280</v>
      </c>
      <c r="C161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W23 (12/9 - 18/9)</v>
      </c>
      <c r="D161" s="3" t="s">
        <v>19</v>
      </c>
      <c r="E161" s="11" t="s">
        <v>17</v>
      </c>
      <c r="F161" s="3">
        <v>0</v>
      </c>
      <c r="G161" s="5">
        <v>0</v>
      </c>
    </row>
    <row r="162" spans="1:7" x14ac:dyDescent="0.25">
      <c r="A162" s="4">
        <v>46281</v>
      </c>
      <c r="B162" s="2">
        <f t="shared" si="4"/>
        <v>46281</v>
      </c>
      <c r="C162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W23 (12/9 - 18/9)</v>
      </c>
      <c r="D162" s="3" t="s">
        <v>19</v>
      </c>
      <c r="E162" s="11" t="s">
        <v>17</v>
      </c>
      <c r="F162" s="3">
        <v>0</v>
      </c>
      <c r="G162" s="5">
        <v>0</v>
      </c>
    </row>
    <row r="163" spans="1:7" x14ac:dyDescent="0.25">
      <c r="A163" s="4">
        <v>46282</v>
      </c>
      <c r="B163" s="2">
        <f t="shared" si="4"/>
        <v>46282</v>
      </c>
      <c r="C163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W23 (12/9 - 18/9)</v>
      </c>
      <c r="D163" s="3" t="s">
        <v>19</v>
      </c>
      <c r="E163" s="11" t="s">
        <v>17</v>
      </c>
      <c r="F163" s="3">
        <v>0</v>
      </c>
      <c r="G163" s="5">
        <v>0</v>
      </c>
    </row>
    <row r="164" spans="1:7" x14ac:dyDescent="0.25">
      <c r="A164" s="4">
        <v>46283</v>
      </c>
      <c r="B164" s="2">
        <f t="shared" si="4"/>
        <v>46283</v>
      </c>
      <c r="C164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W23 (12/9 - 18/9)</v>
      </c>
      <c r="D164" s="3" t="s">
        <v>19</v>
      </c>
      <c r="E164" s="11" t="s">
        <v>17</v>
      </c>
      <c r="F164" s="3">
        <v>0</v>
      </c>
      <c r="G164" s="5">
        <v>0</v>
      </c>
    </row>
    <row r="165" spans="1:7" x14ac:dyDescent="0.25">
      <c r="A165" s="4">
        <v>46284</v>
      </c>
      <c r="B165" s="2">
        <f t="shared" si="4"/>
        <v>46284</v>
      </c>
      <c r="C165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W24 (19/9 - 25/9)</v>
      </c>
      <c r="D165" s="3" t="s">
        <v>19</v>
      </c>
      <c r="E165" s="11" t="s">
        <v>17</v>
      </c>
      <c r="F165" s="3">
        <v>0</v>
      </c>
      <c r="G165" s="5">
        <v>0</v>
      </c>
    </row>
    <row r="166" spans="1:7" x14ac:dyDescent="0.25">
      <c r="A166" s="4">
        <v>46285</v>
      </c>
      <c r="B166" s="2">
        <f t="shared" ref="B166:B197" si="5">A166</f>
        <v>46285</v>
      </c>
      <c r="C166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W24 (19/9 - 25/9)</v>
      </c>
      <c r="D166" s="3" t="s">
        <v>19</v>
      </c>
      <c r="E166" s="11" t="s">
        <v>17</v>
      </c>
      <c r="F166" s="3">
        <v>0</v>
      </c>
      <c r="G166" s="5">
        <v>0</v>
      </c>
    </row>
    <row r="167" spans="1:7" x14ac:dyDescent="0.25">
      <c r="A167" s="4">
        <v>46286</v>
      </c>
      <c r="B167" s="2">
        <f t="shared" si="5"/>
        <v>46286</v>
      </c>
      <c r="C167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W24 (19/9 - 25/9)</v>
      </c>
      <c r="D167" s="3" t="s">
        <v>19</v>
      </c>
      <c r="E167" s="11" t="s">
        <v>17</v>
      </c>
      <c r="F167" s="3">
        <v>0</v>
      </c>
      <c r="G167" s="5">
        <v>0</v>
      </c>
    </row>
    <row r="168" spans="1:7" x14ac:dyDescent="0.25">
      <c r="A168" s="4">
        <v>46287</v>
      </c>
      <c r="B168" s="2">
        <f t="shared" si="5"/>
        <v>46287</v>
      </c>
      <c r="C168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W24 (19/9 - 25/9)</v>
      </c>
      <c r="D168" s="3" t="s">
        <v>19</v>
      </c>
      <c r="E168" s="11" t="s">
        <v>17</v>
      </c>
      <c r="F168" s="3">
        <v>0</v>
      </c>
      <c r="G168" s="5">
        <v>0</v>
      </c>
    </row>
    <row r="169" spans="1:7" x14ac:dyDescent="0.25">
      <c r="A169" s="4">
        <v>46288</v>
      </c>
      <c r="B169" s="2">
        <f t="shared" si="5"/>
        <v>46288</v>
      </c>
      <c r="C169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W24 (19/9 - 25/9)</v>
      </c>
      <c r="D169" s="3" t="s">
        <v>19</v>
      </c>
      <c r="E169" s="11" t="s">
        <v>17</v>
      </c>
      <c r="F169" s="3">
        <v>0</v>
      </c>
      <c r="G169" s="5">
        <v>0</v>
      </c>
    </row>
    <row r="170" spans="1:7" x14ac:dyDescent="0.25">
      <c r="A170" s="4">
        <v>46289</v>
      </c>
      <c r="B170" s="2">
        <f t="shared" si="5"/>
        <v>46289</v>
      </c>
      <c r="C170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W24 (19/9 - 25/9)</v>
      </c>
      <c r="D170" s="3" t="s">
        <v>19</v>
      </c>
      <c r="E170" s="11" t="s">
        <v>17</v>
      </c>
      <c r="F170" s="3">
        <v>0</v>
      </c>
      <c r="G170" s="5">
        <v>0</v>
      </c>
    </row>
    <row r="171" spans="1:7" x14ac:dyDescent="0.25">
      <c r="A171" s="4">
        <v>46290</v>
      </c>
      <c r="B171" s="2">
        <f t="shared" si="5"/>
        <v>46290</v>
      </c>
      <c r="C171" s="3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W24 (19/9 - 25/9)</v>
      </c>
      <c r="D171" s="3" t="s">
        <v>19</v>
      </c>
      <c r="E171" s="11" t="s">
        <v>17</v>
      </c>
      <c r="F171" s="3">
        <v>0</v>
      </c>
      <c r="G171" s="5">
        <v>0</v>
      </c>
    </row>
    <row r="172" spans="1:7" x14ac:dyDescent="0.25">
      <c r="A172" s="46">
        <v>46291</v>
      </c>
      <c r="B172" s="2">
        <f t="shared" si="5"/>
        <v>46291</v>
      </c>
      <c r="C172" s="47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W25 (26/9 - 2/10)</v>
      </c>
      <c r="D172" s="3" t="s">
        <v>19</v>
      </c>
      <c r="E172" s="3" t="s">
        <v>17</v>
      </c>
      <c r="F172" s="3">
        <v>0</v>
      </c>
      <c r="G172" s="5">
        <v>0</v>
      </c>
    </row>
    <row r="173" spans="1:7" x14ac:dyDescent="0.25">
      <c r="A173" s="46">
        <v>46292</v>
      </c>
      <c r="B173" s="2">
        <f t="shared" si="5"/>
        <v>46292</v>
      </c>
      <c r="C173" s="47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W25 (26/9 - 2/10)</v>
      </c>
      <c r="D173" s="3" t="s">
        <v>19</v>
      </c>
      <c r="E173" s="3" t="s">
        <v>17</v>
      </c>
      <c r="F173" s="3">
        <v>0</v>
      </c>
      <c r="G173" s="5">
        <v>0</v>
      </c>
    </row>
    <row r="174" spans="1:7" x14ac:dyDescent="0.25">
      <c r="A174" s="46">
        <v>46293</v>
      </c>
      <c r="B174" s="2">
        <f t="shared" si="5"/>
        <v>46293</v>
      </c>
      <c r="C174" s="47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W25 (26/9 - 2/10)</v>
      </c>
      <c r="D174" s="3" t="s">
        <v>19</v>
      </c>
      <c r="E174" s="3" t="s">
        <v>17</v>
      </c>
      <c r="F174" s="3">
        <v>0</v>
      </c>
      <c r="G174" s="5">
        <v>0</v>
      </c>
    </row>
    <row r="175" spans="1:7" x14ac:dyDescent="0.25">
      <c r="A175" s="46">
        <v>46294</v>
      </c>
      <c r="B175" s="2">
        <f t="shared" si="5"/>
        <v>46294</v>
      </c>
      <c r="C175" s="47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W25 (26/9 - 2/10)</v>
      </c>
      <c r="D175" s="3" t="s">
        <v>19</v>
      </c>
      <c r="E175" s="3" t="s">
        <v>17</v>
      </c>
      <c r="F175" s="3">
        <v>0</v>
      </c>
      <c r="G175" s="5">
        <v>0</v>
      </c>
    </row>
    <row r="176" spans="1:7" x14ac:dyDescent="0.25">
      <c r="A176" s="46">
        <v>46295</v>
      </c>
      <c r="B176" s="2">
        <f t="shared" si="5"/>
        <v>46295</v>
      </c>
      <c r="C176" s="47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W25 (26/9 - 2/10)</v>
      </c>
      <c r="D176" s="3" t="s">
        <v>19</v>
      </c>
      <c r="E176" s="3" t="s">
        <v>17</v>
      </c>
      <c r="F176" s="3">
        <v>0</v>
      </c>
      <c r="G176" s="5">
        <v>0</v>
      </c>
    </row>
    <row r="177" spans="1:7" x14ac:dyDescent="0.25">
      <c r="A177" s="46">
        <v>46296</v>
      </c>
      <c r="B177" s="2">
        <f t="shared" si="5"/>
        <v>46296</v>
      </c>
      <c r="C177" s="47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W25 (26/9 - 2/10)</v>
      </c>
      <c r="D177" s="3" t="s">
        <v>19</v>
      </c>
      <c r="E177" s="3" t="s">
        <v>17</v>
      </c>
      <c r="F177" s="3">
        <v>0</v>
      </c>
      <c r="G177" s="5">
        <v>0</v>
      </c>
    </row>
    <row r="178" spans="1:7" x14ac:dyDescent="0.25">
      <c r="A178" s="48">
        <v>46297</v>
      </c>
      <c r="B178" s="10">
        <f t="shared" si="5"/>
        <v>46297</v>
      </c>
      <c r="C178" s="49" t="str">
        <f>IF([1]!POC[[#This Row],[DATE]]&lt;DATE(2026,4,11),"0",_xlfn.LET(
_xlpm.W,INT(([1]!POC[[#This Row],[DATE]]-DATE(2026,4,11))/7)+1,
_xlpm.S,DATE(2026,4,11)+(_xlpm.W-1)*7,
_xlpm.E,_xlpm.S+6,
"W"&amp;TEXT(_xlpm.W,"00")&amp;" ("&amp;TEXT(_xlpm.S,"d/m")&amp;" - "&amp;TEXT(_xlpm.E,"d/m")&amp;")"
))</f>
        <v>W25 (26/9 - 2/10)</v>
      </c>
      <c r="D178" s="11" t="s">
        <v>19</v>
      </c>
      <c r="E178" s="11" t="s">
        <v>17</v>
      </c>
      <c r="F178" s="11">
        <v>0</v>
      </c>
      <c r="G178" s="1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5:G9"/>
  <sheetViews>
    <sheetView zoomScaleNormal="100" workbookViewId="0">
      <selection activeCell="C6" sqref="C6"/>
    </sheetView>
  </sheetViews>
  <sheetFormatPr defaultColWidth="8.85546875" defaultRowHeight="12.75" x14ac:dyDescent="0.25"/>
  <cols>
    <col min="1" max="1" width="18.7109375" style="1" customWidth="1"/>
    <col min="2" max="2" width="13.7109375" style="1" customWidth="1"/>
    <col min="3" max="3" width="17.85546875" style="1" bestFit="1" customWidth="1"/>
    <col min="4" max="7" width="21.85546875" style="1" customWidth="1"/>
    <col min="8" max="8" width="8.85546875" style="1" customWidth="1"/>
    <col min="9" max="16384" width="8.85546875" style="1"/>
  </cols>
  <sheetData>
    <row r="5" spans="1:7" x14ac:dyDescent="0.25">
      <c r="A5" s="6" t="s">
        <v>0</v>
      </c>
      <c r="B5" s="7" t="s">
        <v>1</v>
      </c>
      <c r="C5" s="7" t="s">
        <v>2</v>
      </c>
      <c r="D5" s="7" t="s">
        <v>12</v>
      </c>
      <c r="E5" s="7" t="s">
        <v>13</v>
      </c>
      <c r="F5" s="7" t="s">
        <v>14</v>
      </c>
      <c r="G5" s="8" t="s">
        <v>15</v>
      </c>
    </row>
    <row r="6" spans="1:7" x14ac:dyDescent="0.25">
      <c r="A6" s="4">
        <v>46170</v>
      </c>
      <c r="B6" s="2">
        <f>A6</f>
        <v>46170</v>
      </c>
      <c r="C6" s="3" t="str">
        <f>IF(GEOMETRA[[#This Row],[DATE]]&lt;DATE(2026,4,11),"0",_xlfn.LET(
_xlpm.W,INT((GEOMETRA[[#This Row],[DATE]]-DATE(2026,4,11))/7)+1,
_xlpm.S,DATE(2026,4,11)+(_xlpm.W-1)*7,
_xlpm.E,_xlpm.S+6,
"W"&amp;TEXT(_xlpm.W,"00")&amp;" ("&amp;TEXT(_xlpm.S,"d/m")&amp;" - "&amp;TEXT(_xlpm.E,"d/m")&amp;")"
))</f>
        <v>W07 (23/5 - 29/5)</v>
      </c>
      <c r="D6" s="3" t="s">
        <v>20</v>
      </c>
      <c r="E6" s="3" t="s">
        <v>21</v>
      </c>
      <c r="F6" s="3">
        <v>2</v>
      </c>
      <c r="G6" s="5">
        <v>16</v>
      </c>
    </row>
    <row r="7" spans="1:7" x14ac:dyDescent="0.25">
      <c r="A7" s="4">
        <v>46171</v>
      </c>
      <c r="B7" s="2">
        <f>A7</f>
        <v>46171</v>
      </c>
      <c r="C7" s="3" t="str">
        <f>IF(GEOMETRA[[#This Row],[DATE]]&lt;DATE(2026,4,11),"0",_xlfn.LET(
_xlpm.W,INT((GEOMETRA[[#This Row],[DATE]]-DATE(2026,4,11))/7)+1,
_xlpm.S,DATE(2026,4,11)+(_xlpm.W-1)*7,
_xlpm.E,_xlpm.S+6,
"W"&amp;TEXT(_xlpm.W,"00")&amp;" ("&amp;TEXT(_xlpm.S,"d/m")&amp;" - "&amp;TEXT(_xlpm.E,"d/m")&amp;")"
))</f>
        <v>W07 (23/5 - 29/5)</v>
      </c>
      <c r="D7" s="3" t="s">
        <v>20</v>
      </c>
      <c r="E7" s="3" t="s">
        <v>21</v>
      </c>
      <c r="F7" s="3">
        <v>4</v>
      </c>
      <c r="G7" s="5">
        <v>32</v>
      </c>
    </row>
    <row r="8" spans="1:7" x14ac:dyDescent="0.25">
      <c r="A8" s="4">
        <v>46172</v>
      </c>
      <c r="B8" s="2">
        <f>A8</f>
        <v>46172</v>
      </c>
      <c r="C8" s="3" t="str">
        <f>IF(GEOMETRA[[#This Row],[DATE]]&lt;DATE(2026,4,11),"0",_xlfn.LET(
_xlpm.W,INT((GEOMETRA[[#This Row],[DATE]]-DATE(2026,4,11))/7)+1,
_xlpm.S,DATE(2026,4,11)+(_xlpm.W-1)*7,
_xlpm.E,_xlpm.S+6,
"W"&amp;TEXT(_xlpm.W,"00")&amp;" ("&amp;TEXT(_xlpm.S,"d/m")&amp;" - "&amp;TEXT(_xlpm.E,"d/m")&amp;")"
))</f>
        <v>W08 (30/5 - 5/6)</v>
      </c>
      <c r="D8" s="3" t="s">
        <v>20</v>
      </c>
      <c r="E8" s="3" t="s">
        <v>21</v>
      </c>
      <c r="F8" s="3">
        <v>4</v>
      </c>
      <c r="G8" s="5">
        <v>32</v>
      </c>
    </row>
    <row r="9" spans="1:7" x14ac:dyDescent="0.25">
      <c r="A9" s="4">
        <v>46173</v>
      </c>
      <c r="B9" s="2">
        <f>A9</f>
        <v>46173</v>
      </c>
      <c r="C9" s="3" t="str">
        <f>IF(GEOMETRA[[#This Row],[DATE]]&lt;DATE(2026,4,11),"0",_xlfn.LET(
_xlpm.W,INT((GEOMETRA[[#This Row],[DATE]]-DATE(2026,4,11))/7)+1,
_xlpm.S,DATE(2026,4,11)+(_xlpm.W-1)*7,
_xlpm.E,_xlpm.S+6,
"W"&amp;TEXT(_xlpm.W,"00")&amp;" ("&amp;TEXT(_xlpm.S,"d/m")&amp;" - "&amp;TEXT(_xlpm.E,"d/m")&amp;")"
))</f>
        <v>W08 (30/5 - 5/6)</v>
      </c>
      <c r="D9" s="3" t="s">
        <v>20</v>
      </c>
      <c r="E9" s="3" t="s">
        <v>21</v>
      </c>
      <c r="F9" s="3">
        <v>4</v>
      </c>
      <c r="G9" s="5">
        <v>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G131"/>
  <sheetViews>
    <sheetView topLeftCell="A85" zoomScaleNormal="100" workbookViewId="0">
      <selection activeCell="A125" sqref="A125:G131"/>
    </sheetView>
  </sheetViews>
  <sheetFormatPr defaultColWidth="8.85546875" defaultRowHeight="12.75" x14ac:dyDescent="0.25"/>
  <cols>
    <col min="1" max="1" width="18.7109375" style="1" customWidth="1"/>
    <col min="2" max="2" width="13.7109375" style="1" customWidth="1"/>
    <col min="3" max="3" width="17.85546875" style="1" bestFit="1" customWidth="1"/>
    <col min="4" max="7" width="21.85546875" style="1" customWidth="1"/>
    <col min="8" max="8" width="8.85546875" style="1" customWidth="1"/>
    <col min="9" max="16384" width="8.85546875" style="1"/>
  </cols>
  <sheetData>
    <row r="5" spans="1:7" x14ac:dyDescent="0.25">
      <c r="A5" s="6" t="s">
        <v>0</v>
      </c>
      <c r="B5" s="7" t="s">
        <v>1</v>
      </c>
      <c r="C5" s="7" t="s">
        <v>2</v>
      </c>
      <c r="D5" s="7" t="s">
        <v>12</v>
      </c>
      <c r="E5" s="7" t="s">
        <v>13</v>
      </c>
      <c r="F5" s="7" t="s">
        <v>14</v>
      </c>
      <c r="G5" s="8" t="s">
        <v>15</v>
      </c>
    </row>
    <row r="6" spans="1:7" x14ac:dyDescent="0.25">
      <c r="A6" s="4">
        <v>46172</v>
      </c>
      <c r="B6" s="2">
        <f t="shared" ref="B6:B37" si="0">A6</f>
        <v>46172</v>
      </c>
      <c r="C6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W08 (30/5 - 5/6)</v>
      </c>
      <c r="D6" s="3" t="s">
        <v>22</v>
      </c>
      <c r="E6" s="3" t="s">
        <v>21</v>
      </c>
      <c r="F6" s="3">
        <v>4</v>
      </c>
      <c r="G6" s="5">
        <v>32</v>
      </c>
    </row>
    <row r="7" spans="1:7" x14ac:dyDescent="0.25">
      <c r="A7" s="4">
        <v>46173</v>
      </c>
      <c r="B7" s="2">
        <f t="shared" si="0"/>
        <v>46173</v>
      </c>
      <c r="C7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W08 (30/5 - 5/6)</v>
      </c>
      <c r="D7" s="3" t="s">
        <v>22</v>
      </c>
      <c r="E7" s="3" t="s">
        <v>21</v>
      </c>
      <c r="F7" s="3">
        <v>5</v>
      </c>
      <c r="G7" s="5">
        <v>40</v>
      </c>
    </row>
    <row r="8" spans="1:7" x14ac:dyDescent="0.25">
      <c r="A8" s="4">
        <v>46174</v>
      </c>
      <c r="B8" s="2">
        <f t="shared" si="0"/>
        <v>46174</v>
      </c>
      <c r="C8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W08 (30/5 - 5/6)</v>
      </c>
      <c r="D8" s="3" t="s">
        <v>22</v>
      </c>
      <c r="E8" s="3" t="s">
        <v>21</v>
      </c>
      <c r="F8" s="3">
        <v>0</v>
      </c>
      <c r="G8" s="5">
        <v>0</v>
      </c>
    </row>
    <row r="9" spans="1:7" x14ac:dyDescent="0.25">
      <c r="A9" s="4">
        <v>46175</v>
      </c>
      <c r="B9" s="2">
        <f t="shared" si="0"/>
        <v>46175</v>
      </c>
      <c r="C9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W08 (30/5 - 5/6)</v>
      </c>
      <c r="D9" s="3" t="s">
        <v>22</v>
      </c>
      <c r="E9" s="3" t="s">
        <v>21</v>
      </c>
      <c r="F9" s="3">
        <v>0</v>
      </c>
      <c r="G9" s="5">
        <v>0</v>
      </c>
    </row>
    <row r="10" spans="1:7" x14ac:dyDescent="0.25">
      <c r="A10" s="4">
        <v>46176</v>
      </c>
      <c r="B10" s="2">
        <f t="shared" si="0"/>
        <v>46176</v>
      </c>
      <c r="C10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W08 (30/5 - 5/6)</v>
      </c>
      <c r="D10" s="3" t="s">
        <v>22</v>
      </c>
      <c r="E10" s="3" t="s">
        <v>21</v>
      </c>
      <c r="F10" s="3">
        <v>3</v>
      </c>
      <c r="G10" s="5">
        <v>24</v>
      </c>
    </row>
    <row r="11" spans="1:7" x14ac:dyDescent="0.25">
      <c r="A11" s="4">
        <v>46177</v>
      </c>
      <c r="B11" s="2">
        <f t="shared" si="0"/>
        <v>46177</v>
      </c>
      <c r="C11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W08 (30/5 - 5/6)</v>
      </c>
      <c r="D11" s="3" t="s">
        <v>22</v>
      </c>
      <c r="E11" s="3" t="s">
        <v>21</v>
      </c>
      <c r="F11" s="3">
        <v>3</v>
      </c>
      <c r="G11" s="5">
        <v>24</v>
      </c>
    </row>
    <row r="12" spans="1:7" x14ac:dyDescent="0.25">
      <c r="A12" s="4">
        <v>46178</v>
      </c>
      <c r="B12" s="2">
        <f t="shared" si="0"/>
        <v>46178</v>
      </c>
      <c r="C12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W08 (30/5 - 5/6)</v>
      </c>
      <c r="D12" s="3" t="s">
        <v>22</v>
      </c>
      <c r="E12" s="3" t="s">
        <v>21</v>
      </c>
      <c r="F12" s="3">
        <v>3</v>
      </c>
      <c r="G12" s="5">
        <v>24</v>
      </c>
    </row>
    <row r="13" spans="1:7" x14ac:dyDescent="0.25">
      <c r="A13" s="4">
        <v>46179</v>
      </c>
      <c r="B13" s="2">
        <f t="shared" si="0"/>
        <v>46179</v>
      </c>
      <c r="C13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W09 (6/6 - 12/6)</v>
      </c>
      <c r="D13" s="3" t="s">
        <v>22</v>
      </c>
      <c r="E13" s="3" t="s">
        <v>21</v>
      </c>
      <c r="F13" s="3">
        <v>3</v>
      </c>
      <c r="G13" s="5">
        <v>24</v>
      </c>
    </row>
    <row r="14" spans="1:7" x14ac:dyDescent="0.25">
      <c r="A14" s="4">
        <v>46180</v>
      </c>
      <c r="B14" s="2">
        <f t="shared" si="0"/>
        <v>46180</v>
      </c>
      <c r="C14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W09 (6/6 - 12/6)</v>
      </c>
      <c r="D14" s="3" t="s">
        <v>22</v>
      </c>
      <c r="E14" s="3" t="s">
        <v>21</v>
      </c>
      <c r="F14" s="3">
        <v>0</v>
      </c>
      <c r="G14" s="5">
        <v>0</v>
      </c>
    </row>
    <row r="15" spans="1:7" x14ac:dyDescent="0.25">
      <c r="A15" s="4">
        <v>46181</v>
      </c>
      <c r="B15" s="2">
        <f t="shared" si="0"/>
        <v>46181</v>
      </c>
      <c r="C15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W09 (6/6 - 12/6)</v>
      </c>
      <c r="D15" s="3" t="s">
        <v>22</v>
      </c>
      <c r="E15" s="3" t="s">
        <v>21</v>
      </c>
      <c r="F15" s="3">
        <v>3</v>
      </c>
      <c r="G15" s="5">
        <v>24</v>
      </c>
    </row>
    <row r="16" spans="1:7" x14ac:dyDescent="0.25">
      <c r="A16" s="4">
        <v>46182</v>
      </c>
      <c r="B16" s="2">
        <f t="shared" si="0"/>
        <v>46182</v>
      </c>
      <c r="C16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W09 (6/6 - 12/6)</v>
      </c>
      <c r="D16" s="3" t="s">
        <v>22</v>
      </c>
      <c r="E16" s="3" t="s">
        <v>21</v>
      </c>
      <c r="F16" s="3">
        <v>0</v>
      </c>
      <c r="G16" s="5">
        <v>0</v>
      </c>
    </row>
    <row r="17" spans="1:7" x14ac:dyDescent="0.25">
      <c r="A17" s="4">
        <v>46183</v>
      </c>
      <c r="B17" s="2">
        <f t="shared" si="0"/>
        <v>46183</v>
      </c>
      <c r="C17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W09 (6/6 - 12/6)</v>
      </c>
      <c r="D17" s="3" t="s">
        <v>22</v>
      </c>
      <c r="E17" s="3" t="s">
        <v>21</v>
      </c>
      <c r="F17" s="3">
        <v>0</v>
      </c>
      <c r="G17" s="5">
        <v>0</v>
      </c>
    </row>
    <row r="18" spans="1:7" x14ac:dyDescent="0.25">
      <c r="A18" s="4">
        <v>46184</v>
      </c>
      <c r="B18" s="2">
        <f t="shared" si="0"/>
        <v>46184</v>
      </c>
      <c r="C18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W09 (6/6 - 12/6)</v>
      </c>
      <c r="D18" s="3" t="s">
        <v>22</v>
      </c>
      <c r="E18" s="3" t="s">
        <v>21</v>
      </c>
      <c r="F18" s="3">
        <v>0</v>
      </c>
      <c r="G18" s="5">
        <v>0</v>
      </c>
    </row>
    <row r="19" spans="1:7" x14ac:dyDescent="0.25">
      <c r="A19" s="4">
        <v>46185</v>
      </c>
      <c r="B19" s="2">
        <f t="shared" si="0"/>
        <v>46185</v>
      </c>
      <c r="C19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W09 (6/6 - 12/6)</v>
      </c>
      <c r="D19" s="3" t="s">
        <v>22</v>
      </c>
      <c r="E19" s="3" t="s">
        <v>21</v>
      </c>
      <c r="F19" s="3">
        <v>0</v>
      </c>
      <c r="G19" s="5">
        <v>0</v>
      </c>
    </row>
    <row r="20" spans="1:7" x14ac:dyDescent="0.25">
      <c r="A20" s="4">
        <v>46186</v>
      </c>
      <c r="B20" s="2">
        <f t="shared" si="0"/>
        <v>46186</v>
      </c>
      <c r="C20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W10 (13/6 - 19/6)</v>
      </c>
      <c r="D20" s="3" t="s">
        <v>22</v>
      </c>
      <c r="E20" s="3" t="s">
        <v>21</v>
      </c>
      <c r="F20" s="3">
        <v>0</v>
      </c>
      <c r="G20" s="5">
        <v>0</v>
      </c>
    </row>
    <row r="21" spans="1:7" x14ac:dyDescent="0.25">
      <c r="A21" s="4">
        <v>46187</v>
      </c>
      <c r="B21" s="2">
        <f t="shared" si="0"/>
        <v>46187</v>
      </c>
      <c r="C21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W10 (13/6 - 19/6)</v>
      </c>
      <c r="D21" s="3" t="s">
        <v>22</v>
      </c>
      <c r="E21" s="3" t="s">
        <v>21</v>
      </c>
      <c r="F21" s="3">
        <v>0</v>
      </c>
      <c r="G21" s="5">
        <v>0</v>
      </c>
    </row>
    <row r="22" spans="1:7" x14ac:dyDescent="0.25">
      <c r="A22" s="4">
        <v>46188</v>
      </c>
      <c r="B22" s="2">
        <f t="shared" si="0"/>
        <v>46188</v>
      </c>
      <c r="C22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W10 (13/6 - 19/6)</v>
      </c>
      <c r="D22" s="3" t="s">
        <v>22</v>
      </c>
      <c r="E22" s="3" t="s">
        <v>21</v>
      </c>
      <c r="F22" s="3">
        <v>0</v>
      </c>
      <c r="G22" s="5">
        <v>0</v>
      </c>
    </row>
    <row r="23" spans="1:7" x14ac:dyDescent="0.25">
      <c r="A23" s="4">
        <v>46189</v>
      </c>
      <c r="B23" s="2">
        <f t="shared" si="0"/>
        <v>46189</v>
      </c>
      <c r="C23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W10 (13/6 - 19/6)</v>
      </c>
      <c r="D23" s="3" t="s">
        <v>22</v>
      </c>
      <c r="E23" s="3" t="s">
        <v>21</v>
      </c>
      <c r="F23" s="3">
        <v>0</v>
      </c>
      <c r="G23" s="5">
        <v>0</v>
      </c>
    </row>
    <row r="24" spans="1:7" x14ac:dyDescent="0.25">
      <c r="A24" s="4">
        <v>46190</v>
      </c>
      <c r="B24" s="2">
        <f t="shared" si="0"/>
        <v>46190</v>
      </c>
      <c r="C24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W10 (13/6 - 19/6)</v>
      </c>
      <c r="D24" s="3" t="s">
        <v>22</v>
      </c>
      <c r="E24" s="3" t="s">
        <v>21</v>
      </c>
      <c r="F24" s="3">
        <v>0</v>
      </c>
      <c r="G24" s="5">
        <v>0</v>
      </c>
    </row>
    <row r="25" spans="1:7" x14ac:dyDescent="0.25">
      <c r="A25" s="4">
        <v>46191</v>
      </c>
      <c r="B25" s="2">
        <f t="shared" si="0"/>
        <v>46191</v>
      </c>
      <c r="C25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W10 (13/6 - 19/6)</v>
      </c>
      <c r="D25" s="3" t="s">
        <v>22</v>
      </c>
      <c r="E25" s="3" t="s">
        <v>21</v>
      </c>
      <c r="F25" s="3">
        <v>0</v>
      </c>
      <c r="G25" s="5">
        <v>0</v>
      </c>
    </row>
    <row r="26" spans="1:7" x14ac:dyDescent="0.25">
      <c r="A26" s="4">
        <v>46192</v>
      </c>
      <c r="B26" s="2">
        <f t="shared" si="0"/>
        <v>46192</v>
      </c>
      <c r="C26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W10 (13/6 - 19/6)</v>
      </c>
      <c r="D26" s="3" t="s">
        <v>22</v>
      </c>
      <c r="E26" s="3" t="s">
        <v>21</v>
      </c>
      <c r="F26" s="3">
        <v>0</v>
      </c>
      <c r="G26" s="5">
        <v>0</v>
      </c>
    </row>
    <row r="27" spans="1:7" x14ac:dyDescent="0.25">
      <c r="A27" s="4">
        <v>46193</v>
      </c>
      <c r="B27" s="2">
        <f t="shared" si="0"/>
        <v>46193</v>
      </c>
      <c r="C27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W11 (20/6 - 26/6)</v>
      </c>
      <c r="D27" s="3" t="s">
        <v>22</v>
      </c>
      <c r="E27" s="3" t="s">
        <v>21</v>
      </c>
      <c r="F27" s="3">
        <v>0</v>
      </c>
      <c r="G27" s="5">
        <v>0</v>
      </c>
    </row>
    <row r="28" spans="1:7" x14ac:dyDescent="0.25">
      <c r="A28" s="4">
        <v>46194</v>
      </c>
      <c r="B28" s="2">
        <f t="shared" si="0"/>
        <v>46194</v>
      </c>
      <c r="C28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W11 (20/6 - 26/6)</v>
      </c>
      <c r="D28" s="3" t="s">
        <v>22</v>
      </c>
      <c r="E28" s="3" t="s">
        <v>21</v>
      </c>
      <c r="F28" s="3">
        <v>0</v>
      </c>
      <c r="G28" s="5">
        <v>0</v>
      </c>
    </row>
    <row r="29" spans="1:7" x14ac:dyDescent="0.25">
      <c r="A29" s="4">
        <v>46195</v>
      </c>
      <c r="B29" s="2">
        <f t="shared" si="0"/>
        <v>46195</v>
      </c>
      <c r="C29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W11 (20/6 - 26/6)</v>
      </c>
      <c r="D29" s="3" t="s">
        <v>22</v>
      </c>
      <c r="E29" s="3" t="s">
        <v>21</v>
      </c>
      <c r="F29" s="3">
        <v>0</v>
      </c>
      <c r="G29" s="5">
        <v>0</v>
      </c>
    </row>
    <row r="30" spans="1:7" x14ac:dyDescent="0.25">
      <c r="A30" s="4">
        <v>46196</v>
      </c>
      <c r="B30" s="2">
        <f t="shared" si="0"/>
        <v>46196</v>
      </c>
      <c r="C30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W11 (20/6 - 26/6)</v>
      </c>
      <c r="D30" s="3" t="s">
        <v>22</v>
      </c>
      <c r="E30" s="3" t="s">
        <v>21</v>
      </c>
      <c r="F30" s="3">
        <v>0</v>
      </c>
      <c r="G30" s="5">
        <v>0</v>
      </c>
    </row>
    <row r="31" spans="1:7" x14ac:dyDescent="0.25">
      <c r="A31" s="4">
        <v>46197</v>
      </c>
      <c r="B31" s="2">
        <f t="shared" si="0"/>
        <v>46197</v>
      </c>
      <c r="C31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W11 (20/6 - 26/6)</v>
      </c>
      <c r="D31" s="3" t="s">
        <v>22</v>
      </c>
      <c r="E31" s="3" t="s">
        <v>21</v>
      </c>
      <c r="F31" s="3">
        <v>0</v>
      </c>
      <c r="G31" s="5">
        <v>0</v>
      </c>
    </row>
    <row r="32" spans="1:7" x14ac:dyDescent="0.25">
      <c r="A32" s="4">
        <v>46198</v>
      </c>
      <c r="B32" s="2">
        <f t="shared" si="0"/>
        <v>46198</v>
      </c>
      <c r="C32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W11 (20/6 - 26/6)</v>
      </c>
      <c r="D32" s="3" t="s">
        <v>22</v>
      </c>
      <c r="E32" s="3" t="s">
        <v>21</v>
      </c>
      <c r="F32" s="3">
        <v>0</v>
      </c>
      <c r="G32" s="5">
        <v>0</v>
      </c>
    </row>
    <row r="33" spans="1:7" x14ac:dyDescent="0.25">
      <c r="A33" s="4">
        <v>46199</v>
      </c>
      <c r="B33" s="2">
        <f t="shared" si="0"/>
        <v>46199</v>
      </c>
      <c r="C33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W11 (20/6 - 26/6)</v>
      </c>
      <c r="D33" s="3" t="s">
        <v>22</v>
      </c>
      <c r="E33" s="3" t="s">
        <v>21</v>
      </c>
      <c r="F33" s="3">
        <v>0</v>
      </c>
      <c r="G33" s="5">
        <v>0</v>
      </c>
    </row>
    <row r="34" spans="1:7" x14ac:dyDescent="0.25">
      <c r="A34" s="4">
        <v>46200</v>
      </c>
      <c r="B34" s="2">
        <f t="shared" si="0"/>
        <v>46200</v>
      </c>
      <c r="C34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W12 (27/6 - 3/7)</v>
      </c>
      <c r="D34" s="3" t="s">
        <v>22</v>
      </c>
      <c r="E34" s="3" t="s">
        <v>21</v>
      </c>
      <c r="F34" s="3">
        <v>0</v>
      </c>
      <c r="G34" s="5">
        <v>0</v>
      </c>
    </row>
    <row r="35" spans="1:7" x14ac:dyDescent="0.25">
      <c r="A35" s="4">
        <v>46201</v>
      </c>
      <c r="B35" s="2">
        <f t="shared" si="0"/>
        <v>46201</v>
      </c>
      <c r="C35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W12 (27/6 - 3/7)</v>
      </c>
      <c r="D35" s="3" t="s">
        <v>22</v>
      </c>
      <c r="E35" s="3" t="s">
        <v>21</v>
      </c>
      <c r="F35" s="3">
        <v>0</v>
      </c>
      <c r="G35" s="5">
        <v>0</v>
      </c>
    </row>
    <row r="36" spans="1:7" x14ac:dyDescent="0.25">
      <c r="A36" s="4">
        <v>46202</v>
      </c>
      <c r="B36" s="2">
        <f t="shared" si="0"/>
        <v>46202</v>
      </c>
      <c r="C36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W12 (27/6 - 3/7)</v>
      </c>
      <c r="D36" s="3" t="s">
        <v>22</v>
      </c>
      <c r="E36" s="3" t="s">
        <v>21</v>
      </c>
      <c r="F36" s="3">
        <v>0</v>
      </c>
      <c r="G36" s="5">
        <v>0</v>
      </c>
    </row>
    <row r="37" spans="1:7" x14ac:dyDescent="0.25">
      <c r="A37" s="4">
        <v>46203</v>
      </c>
      <c r="B37" s="2">
        <f t="shared" si="0"/>
        <v>46203</v>
      </c>
      <c r="C37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W12 (27/6 - 3/7)</v>
      </c>
      <c r="D37" s="3" t="s">
        <v>22</v>
      </c>
      <c r="E37" s="3" t="s">
        <v>21</v>
      </c>
      <c r="F37" s="3">
        <v>0</v>
      </c>
      <c r="G37" s="5">
        <v>0</v>
      </c>
    </row>
    <row r="38" spans="1:7" x14ac:dyDescent="0.25">
      <c r="A38" s="4">
        <v>46204</v>
      </c>
      <c r="B38" s="2">
        <f t="shared" ref="B38:B69" si="1">A38</f>
        <v>46204</v>
      </c>
      <c r="C38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W12 (27/6 - 3/7)</v>
      </c>
      <c r="D38" s="3" t="s">
        <v>22</v>
      </c>
      <c r="E38" s="3" t="s">
        <v>21</v>
      </c>
      <c r="F38" s="3">
        <v>0</v>
      </c>
      <c r="G38" s="5">
        <v>0</v>
      </c>
    </row>
    <row r="39" spans="1:7" x14ac:dyDescent="0.25">
      <c r="A39" s="4">
        <v>46205</v>
      </c>
      <c r="B39" s="2">
        <f t="shared" si="1"/>
        <v>46205</v>
      </c>
      <c r="C39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W12 (27/6 - 3/7)</v>
      </c>
      <c r="D39" s="3" t="s">
        <v>22</v>
      </c>
      <c r="E39" s="3" t="s">
        <v>21</v>
      </c>
      <c r="F39" s="3">
        <v>0</v>
      </c>
      <c r="G39" s="5">
        <v>0</v>
      </c>
    </row>
    <row r="40" spans="1:7" x14ac:dyDescent="0.25">
      <c r="A40" s="4">
        <v>46206</v>
      </c>
      <c r="B40" s="2">
        <f t="shared" si="1"/>
        <v>46206</v>
      </c>
      <c r="C40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W12 (27/6 - 3/7)</v>
      </c>
      <c r="D40" s="3" t="s">
        <v>22</v>
      </c>
      <c r="E40" s="3" t="s">
        <v>21</v>
      </c>
      <c r="F40" s="3">
        <v>0</v>
      </c>
      <c r="G40" s="5">
        <v>0</v>
      </c>
    </row>
    <row r="41" spans="1:7" x14ac:dyDescent="0.25">
      <c r="A41" s="4">
        <v>46207</v>
      </c>
      <c r="B41" s="2">
        <f t="shared" si="1"/>
        <v>46207</v>
      </c>
      <c r="C41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W13 (4/7 - 10/7)</v>
      </c>
      <c r="D41" s="3" t="s">
        <v>22</v>
      </c>
      <c r="E41" s="3" t="s">
        <v>21</v>
      </c>
      <c r="F41" s="3">
        <v>0</v>
      </c>
      <c r="G41" s="5">
        <v>0</v>
      </c>
    </row>
    <row r="42" spans="1:7" x14ac:dyDescent="0.25">
      <c r="A42" s="4">
        <v>46208</v>
      </c>
      <c r="B42" s="2">
        <f t="shared" si="1"/>
        <v>46208</v>
      </c>
      <c r="C42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W13 (4/7 - 10/7)</v>
      </c>
      <c r="D42" s="3" t="s">
        <v>22</v>
      </c>
      <c r="E42" s="3" t="s">
        <v>21</v>
      </c>
      <c r="F42" s="3">
        <v>0</v>
      </c>
      <c r="G42" s="5">
        <v>0</v>
      </c>
    </row>
    <row r="43" spans="1:7" x14ac:dyDescent="0.25">
      <c r="A43" s="4">
        <v>46209</v>
      </c>
      <c r="B43" s="2">
        <f t="shared" si="1"/>
        <v>46209</v>
      </c>
      <c r="C43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W13 (4/7 - 10/7)</v>
      </c>
      <c r="D43" s="3" t="s">
        <v>22</v>
      </c>
      <c r="E43" s="3" t="s">
        <v>21</v>
      </c>
      <c r="F43" s="3">
        <v>3</v>
      </c>
      <c r="G43" s="5">
        <v>24</v>
      </c>
    </row>
    <row r="44" spans="1:7" x14ac:dyDescent="0.25">
      <c r="A44" s="4">
        <v>46210</v>
      </c>
      <c r="B44" s="2">
        <f t="shared" si="1"/>
        <v>46210</v>
      </c>
      <c r="C44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W13 (4/7 - 10/7)</v>
      </c>
      <c r="D44" s="3" t="s">
        <v>22</v>
      </c>
      <c r="E44" s="3" t="s">
        <v>21</v>
      </c>
      <c r="F44" s="3">
        <v>4</v>
      </c>
      <c r="G44" s="5">
        <v>32</v>
      </c>
    </row>
    <row r="45" spans="1:7" x14ac:dyDescent="0.25">
      <c r="A45" s="4">
        <v>46211</v>
      </c>
      <c r="B45" s="2">
        <f t="shared" si="1"/>
        <v>46211</v>
      </c>
      <c r="C45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W13 (4/7 - 10/7)</v>
      </c>
      <c r="D45" s="3" t="s">
        <v>22</v>
      </c>
      <c r="E45" s="3" t="s">
        <v>21</v>
      </c>
      <c r="F45" s="3">
        <v>3</v>
      </c>
      <c r="G45" s="5">
        <v>24</v>
      </c>
    </row>
    <row r="46" spans="1:7" x14ac:dyDescent="0.25">
      <c r="A46" s="4">
        <v>46212</v>
      </c>
      <c r="B46" s="2">
        <f t="shared" si="1"/>
        <v>46212</v>
      </c>
      <c r="C46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W13 (4/7 - 10/7)</v>
      </c>
      <c r="D46" s="3" t="s">
        <v>22</v>
      </c>
      <c r="E46" s="3" t="s">
        <v>21</v>
      </c>
      <c r="F46" s="3">
        <v>0</v>
      </c>
      <c r="G46" s="5">
        <v>0</v>
      </c>
    </row>
    <row r="47" spans="1:7" x14ac:dyDescent="0.25">
      <c r="A47" s="4">
        <v>46213</v>
      </c>
      <c r="B47" s="2">
        <f t="shared" si="1"/>
        <v>46213</v>
      </c>
      <c r="C47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W13 (4/7 - 10/7)</v>
      </c>
      <c r="D47" s="3" t="s">
        <v>22</v>
      </c>
      <c r="E47" s="3" t="s">
        <v>21</v>
      </c>
      <c r="F47" s="3">
        <v>0</v>
      </c>
      <c r="G47" s="5">
        <v>0</v>
      </c>
    </row>
    <row r="48" spans="1:7" x14ac:dyDescent="0.25">
      <c r="A48" s="4">
        <v>46214</v>
      </c>
      <c r="B48" s="2">
        <f t="shared" si="1"/>
        <v>46214</v>
      </c>
      <c r="C48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W14 (11/7 - 17/7)</v>
      </c>
      <c r="D48" s="3" t="s">
        <v>22</v>
      </c>
      <c r="E48" s="3" t="s">
        <v>21</v>
      </c>
      <c r="F48" s="3">
        <v>0</v>
      </c>
      <c r="G48" s="5">
        <v>0</v>
      </c>
    </row>
    <row r="49" spans="1:7" x14ac:dyDescent="0.25">
      <c r="A49" s="4">
        <v>46215</v>
      </c>
      <c r="B49" s="2">
        <f t="shared" si="1"/>
        <v>46215</v>
      </c>
      <c r="C49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W14 (11/7 - 17/7)</v>
      </c>
      <c r="D49" s="3" t="s">
        <v>22</v>
      </c>
      <c r="E49" s="3" t="s">
        <v>21</v>
      </c>
      <c r="F49" s="3">
        <v>0</v>
      </c>
      <c r="G49" s="5">
        <v>0</v>
      </c>
    </row>
    <row r="50" spans="1:7" x14ac:dyDescent="0.25">
      <c r="A50" s="4">
        <v>46216</v>
      </c>
      <c r="B50" s="2">
        <f t="shared" si="1"/>
        <v>46216</v>
      </c>
      <c r="C50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W14 (11/7 - 17/7)</v>
      </c>
      <c r="D50" s="3" t="s">
        <v>22</v>
      </c>
      <c r="E50" s="3" t="s">
        <v>21</v>
      </c>
      <c r="F50" s="3">
        <v>0</v>
      </c>
      <c r="G50" s="5">
        <v>0</v>
      </c>
    </row>
    <row r="51" spans="1:7" x14ac:dyDescent="0.25">
      <c r="A51" s="4">
        <v>46217</v>
      </c>
      <c r="B51" s="2">
        <f t="shared" si="1"/>
        <v>46217</v>
      </c>
      <c r="C51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W14 (11/7 - 17/7)</v>
      </c>
      <c r="D51" s="3" t="s">
        <v>22</v>
      </c>
      <c r="E51" s="3" t="s">
        <v>21</v>
      </c>
      <c r="F51" s="3">
        <v>0</v>
      </c>
      <c r="G51" s="5">
        <v>0</v>
      </c>
    </row>
    <row r="52" spans="1:7" x14ac:dyDescent="0.25">
      <c r="A52" s="4">
        <v>46218</v>
      </c>
      <c r="B52" s="2">
        <f t="shared" si="1"/>
        <v>46218</v>
      </c>
      <c r="C52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W14 (11/7 - 17/7)</v>
      </c>
      <c r="D52" s="3" t="s">
        <v>22</v>
      </c>
      <c r="E52" s="3" t="s">
        <v>21</v>
      </c>
      <c r="F52" s="3">
        <v>0</v>
      </c>
      <c r="G52" s="5">
        <v>0</v>
      </c>
    </row>
    <row r="53" spans="1:7" x14ac:dyDescent="0.25">
      <c r="A53" s="4">
        <v>46219</v>
      </c>
      <c r="B53" s="2">
        <f t="shared" si="1"/>
        <v>46219</v>
      </c>
      <c r="C53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W14 (11/7 - 17/7)</v>
      </c>
      <c r="D53" s="3" t="s">
        <v>22</v>
      </c>
      <c r="E53" s="3" t="s">
        <v>21</v>
      </c>
      <c r="F53" s="3">
        <v>0</v>
      </c>
      <c r="G53" s="5">
        <v>0</v>
      </c>
    </row>
    <row r="54" spans="1:7" x14ac:dyDescent="0.25">
      <c r="A54" s="4">
        <v>46220</v>
      </c>
      <c r="B54" s="2">
        <f t="shared" si="1"/>
        <v>46220</v>
      </c>
      <c r="C54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W14 (11/7 - 17/7)</v>
      </c>
      <c r="D54" s="3" t="s">
        <v>22</v>
      </c>
      <c r="E54" s="3" t="s">
        <v>21</v>
      </c>
      <c r="F54" s="3">
        <v>0</v>
      </c>
      <c r="G54" s="5">
        <v>0</v>
      </c>
    </row>
    <row r="55" spans="1:7" x14ac:dyDescent="0.25">
      <c r="A55" s="4">
        <v>46221</v>
      </c>
      <c r="B55" s="2">
        <f t="shared" si="1"/>
        <v>46221</v>
      </c>
      <c r="C55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W15 (18/7 - 24/7)</v>
      </c>
      <c r="D55" s="3" t="s">
        <v>22</v>
      </c>
      <c r="E55" s="3" t="s">
        <v>21</v>
      </c>
      <c r="F55" s="3">
        <v>0</v>
      </c>
      <c r="G55" s="5">
        <v>0</v>
      </c>
    </row>
    <row r="56" spans="1:7" x14ac:dyDescent="0.25">
      <c r="A56" s="4">
        <v>46222</v>
      </c>
      <c r="B56" s="2">
        <f t="shared" si="1"/>
        <v>46222</v>
      </c>
      <c r="C56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W15 (18/7 - 24/7)</v>
      </c>
      <c r="D56" s="3" t="s">
        <v>22</v>
      </c>
      <c r="E56" s="3" t="s">
        <v>21</v>
      </c>
      <c r="F56" s="3">
        <v>0</v>
      </c>
      <c r="G56" s="5">
        <v>0</v>
      </c>
    </row>
    <row r="57" spans="1:7" x14ac:dyDescent="0.25">
      <c r="A57" s="4">
        <v>46223</v>
      </c>
      <c r="B57" s="2">
        <f t="shared" si="1"/>
        <v>46223</v>
      </c>
      <c r="C57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W15 (18/7 - 24/7)</v>
      </c>
      <c r="D57" s="3" t="s">
        <v>22</v>
      </c>
      <c r="E57" s="3" t="s">
        <v>21</v>
      </c>
      <c r="F57" s="3">
        <v>0</v>
      </c>
      <c r="G57" s="5">
        <v>0</v>
      </c>
    </row>
    <row r="58" spans="1:7" x14ac:dyDescent="0.25">
      <c r="A58" s="4">
        <v>46224</v>
      </c>
      <c r="B58" s="2">
        <f t="shared" si="1"/>
        <v>46224</v>
      </c>
      <c r="C58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W15 (18/7 - 24/7)</v>
      </c>
      <c r="D58" s="3" t="s">
        <v>22</v>
      </c>
      <c r="E58" s="3" t="s">
        <v>21</v>
      </c>
      <c r="F58" s="3">
        <v>5</v>
      </c>
      <c r="G58" s="5">
        <v>40</v>
      </c>
    </row>
    <row r="59" spans="1:7" x14ac:dyDescent="0.25">
      <c r="A59" s="4">
        <v>46225</v>
      </c>
      <c r="B59" s="2">
        <f t="shared" si="1"/>
        <v>46225</v>
      </c>
      <c r="C59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W15 (18/7 - 24/7)</v>
      </c>
      <c r="D59" s="3" t="s">
        <v>22</v>
      </c>
      <c r="E59" s="3" t="s">
        <v>21</v>
      </c>
      <c r="F59" s="3">
        <v>7</v>
      </c>
      <c r="G59" s="5">
        <v>56</v>
      </c>
    </row>
    <row r="60" spans="1:7" x14ac:dyDescent="0.25">
      <c r="A60" s="4">
        <v>46226</v>
      </c>
      <c r="B60" s="2">
        <f t="shared" si="1"/>
        <v>46226</v>
      </c>
      <c r="C60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W15 (18/7 - 24/7)</v>
      </c>
      <c r="D60" s="3" t="s">
        <v>22</v>
      </c>
      <c r="E60" s="3" t="s">
        <v>21</v>
      </c>
      <c r="F60" s="3">
        <v>7</v>
      </c>
      <c r="G60" s="5">
        <v>56</v>
      </c>
    </row>
    <row r="61" spans="1:7" x14ac:dyDescent="0.25">
      <c r="A61" s="4">
        <v>46227</v>
      </c>
      <c r="B61" s="2">
        <f t="shared" si="1"/>
        <v>46227</v>
      </c>
      <c r="C61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W15 (18/7 - 24/7)</v>
      </c>
      <c r="D61" s="3" t="s">
        <v>22</v>
      </c>
      <c r="E61" s="3" t="s">
        <v>21</v>
      </c>
      <c r="F61" s="3">
        <v>7</v>
      </c>
      <c r="G61" s="5">
        <v>56</v>
      </c>
    </row>
    <row r="62" spans="1:7" x14ac:dyDescent="0.25">
      <c r="A62" s="4">
        <v>46228</v>
      </c>
      <c r="B62" s="2">
        <f t="shared" si="1"/>
        <v>46228</v>
      </c>
      <c r="C62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W16 (25/7 - 31/7)</v>
      </c>
      <c r="D62" s="3" t="s">
        <v>22</v>
      </c>
      <c r="E62" s="3" t="s">
        <v>21</v>
      </c>
      <c r="F62" s="3">
        <v>7</v>
      </c>
      <c r="G62" s="5">
        <v>56</v>
      </c>
    </row>
    <row r="63" spans="1:7" x14ac:dyDescent="0.25">
      <c r="A63" s="4">
        <v>46229</v>
      </c>
      <c r="B63" s="2">
        <f t="shared" si="1"/>
        <v>46229</v>
      </c>
      <c r="C63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W16 (25/7 - 31/7)</v>
      </c>
      <c r="D63" s="3" t="s">
        <v>22</v>
      </c>
      <c r="E63" s="3" t="s">
        <v>21</v>
      </c>
      <c r="F63" s="3">
        <v>7</v>
      </c>
      <c r="G63" s="5">
        <v>56</v>
      </c>
    </row>
    <row r="64" spans="1:7" x14ac:dyDescent="0.25">
      <c r="A64" s="4">
        <v>46230</v>
      </c>
      <c r="B64" s="2">
        <f t="shared" si="1"/>
        <v>46230</v>
      </c>
      <c r="C64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W16 (25/7 - 31/7)</v>
      </c>
      <c r="D64" s="3" t="s">
        <v>22</v>
      </c>
      <c r="E64" s="3" t="s">
        <v>21</v>
      </c>
      <c r="F64" s="3">
        <v>7</v>
      </c>
      <c r="G64" s="5">
        <v>56</v>
      </c>
    </row>
    <row r="65" spans="1:7" x14ac:dyDescent="0.25">
      <c r="A65" s="4">
        <v>46231</v>
      </c>
      <c r="B65" s="2">
        <f t="shared" si="1"/>
        <v>46231</v>
      </c>
      <c r="C65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W16 (25/7 - 31/7)</v>
      </c>
      <c r="D65" s="3" t="s">
        <v>22</v>
      </c>
      <c r="E65" s="3" t="s">
        <v>21</v>
      </c>
      <c r="F65" s="3">
        <v>8</v>
      </c>
      <c r="G65" s="5">
        <v>64</v>
      </c>
    </row>
    <row r="66" spans="1:7" x14ac:dyDescent="0.25">
      <c r="A66" s="4">
        <v>46232</v>
      </c>
      <c r="B66" s="2">
        <f t="shared" si="1"/>
        <v>46232</v>
      </c>
      <c r="C66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W16 (25/7 - 31/7)</v>
      </c>
      <c r="D66" s="3" t="s">
        <v>22</v>
      </c>
      <c r="E66" s="3" t="s">
        <v>21</v>
      </c>
      <c r="F66" s="3">
        <v>9</v>
      </c>
      <c r="G66" s="5">
        <v>72</v>
      </c>
    </row>
    <row r="67" spans="1:7" x14ac:dyDescent="0.25">
      <c r="A67" s="4">
        <v>46233</v>
      </c>
      <c r="B67" s="2">
        <f t="shared" si="1"/>
        <v>46233</v>
      </c>
      <c r="C67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W16 (25/7 - 31/7)</v>
      </c>
      <c r="D67" s="3" t="s">
        <v>22</v>
      </c>
      <c r="E67" s="3" t="s">
        <v>21</v>
      </c>
      <c r="F67" s="3">
        <v>9</v>
      </c>
      <c r="G67" s="5">
        <v>72</v>
      </c>
    </row>
    <row r="68" spans="1:7" x14ac:dyDescent="0.25">
      <c r="A68" s="9">
        <v>46234</v>
      </c>
      <c r="B68" s="10">
        <f t="shared" si="1"/>
        <v>46234</v>
      </c>
      <c r="C68" s="11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W16 (25/7 - 31/7)</v>
      </c>
      <c r="D68" s="3" t="s">
        <v>22</v>
      </c>
      <c r="E68" s="3" t="s">
        <v>21</v>
      </c>
      <c r="F68" s="11">
        <v>9</v>
      </c>
      <c r="G68" s="12">
        <v>72</v>
      </c>
    </row>
    <row r="69" spans="1:7" x14ac:dyDescent="0.25">
      <c r="A69" s="4">
        <v>46235</v>
      </c>
      <c r="B69" s="2">
        <f t="shared" si="1"/>
        <v>46235</v>
      </c>
      <c r="C69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W17 (1/8 - 7/8)</v>
      </c>
      <c r="D69" s="3" t="s">
        <v>22</v>
      </c>
      <c r="E69" s="3" t="s">
        <v>21</v>
      </c>
      <c r="F69" s="3">
        <v>10</v>
      </c>
      <c r="G69" s="5">
        <v>80</v>
      </c>
    </row>
    <row r="70" spans="1:7" x14ac:dyDescent="0.25">
      <c r="A70" s="4">
        <v>46236</v>
      </c>
      <c r="B70" s="2">
        <f t="shared" ref="B70:B101" si="2">A70</f>
        <v>46236</v>
      </c>
      <c r="C70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W17 (1/8 - 7/8)</v>
      </c>
      <c r="D70" s="3" t="s">
        <v>22</v>
      </c>
      <c r="E70" s="3" t="s">
        <v>21</v>
      </c>
      <c r="F70" s="3">
        <v>10</v>
      </c>
      <c r="G70" s="5">
        <v>80</v>
      </c>
    </row>
    <row r="71" spans="1:7" x14ac:dyDescent="0.25">
      <c r="A71" s="9">
        <v>46237</v>
      </c>
      <c r="B71" s="2">
        <f t="shared" si="2"/>
        <v>46237</v>
      </c>
      <c r="C71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W17 (1/8 - 7/8)</v>
      </c>
      <c r="D71" s="3" t="s">
        <v>22</v>
      </c>
      <c r="E71" s="3" t="s">
        <v>21</v>
      </c>
      <c r="F71" s="3">
        <v>10</v>
      </c>
      <c r="G71" s="5">
        <v>80</v>
      </c>
    </row>
    <row r="72" spans="1:7" x14ac:dyDescent="0.25">
      <c r="A72" s="4">
        <v>46238</v>
      </c>
      <c r="B72" s="2">
        <f t="shared" si="2"/>
        <v>46238</v>
      </c>
      <c r="C72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W17 (1/8 - 7/8)</v>
      </c>
      <c r="D72" s="3" t="s">
        <v>22</v>
      </c>
      <c r="E72" s="3" t="s">
        <v>21</v>
      </c>
      <c r="F72" s="3">
        <v>10</v>
      </c>
      <c r="G72" s="5">
        <v>80</v>
      </c>
    </row>
    <row r="73" spans="1:7" x14ac:dyDescent="0.25">
      <c r="A73" s="9">
        <v>46239</v>
      </c>
      <c r="B73" s="2">
        <f t="shared" si="2"/>
        <v>46239</v>
      </c>
      <c r="C73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W17 (1/8 - 7/8)</v>
      </c>
      <c r="D73" s="3" t="s">
        <v>22</v>
      </c>
      <c r="E73" s="3" t="s">
        <v>21</v>
      </c>
      <c r="F73" s="3">
        <v>10</v>
      </c>
      <c r="G73" s="5">
        <v>80</v>
      </c>
    </row>
    <row r="74" spans="1:7" x14ac:dyDescent="0.25">
      <c r="A74" s="4">
        <v>46240</v>
      </c>
      <c r="B74" s="2">
        <f t="shared" si="2"/>
        <v>46240</v>
      </c>
      <c r="C74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W17 (1/8 - 7/8)</v>
      </c>
      <c r="D74" s="3" t="s">
        <v>22</v>
      </c>
      <c r="E74" s="3" t="s">
        <v>21</v>
      </c>
      <c r="F74" s="3">
        <v>10</v>
      </c>
      <c r="G74" s="5">
        <v>80</v>
      </c>
    </row>
    <row r="75" spans="1:7" x14ac:dyDescent="0.25">
      <c r="A75" s="9">
        <v>46241</v>
      </c>
      <c r="B75" s="2">
        <f t="shared" si="2"/>
        <v>46241</v>
      </c>
      <c r="C75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W17 (1/8 - 7/8)</v>
      </c>
      <c r="D75" s="3" t="s">
        <v>22</v>
      </c>
      <c r="E75" s="3" t="s">
        <v>21</v>
      </c>
      <c r="F75" s="3">
        <v>10</v>
      </c>
      <c r="G75" s="5">
        <v>80</v>
      </c>
    </row>
    <row r="76" spans="1:7" x14ac:dyDescent="0.25">
      <c r="A76" s="4">
        <v>46242</v>
      </c>
      <c r="B76" s="2">
        <f t="shared" si="2"/>
        <v>46242</v>
      </c>
      <c r="C76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W18 (8/8 - 14/8)</v>
      </c>
      <c r="D76" s="3" t="s">
        <v>22</v>
      </c>
      <c r="E76" s="3" t="s">
        <v>21</v>
      </c>
      <c r="F76" s="3">
        <v>10</v>
      </c>
      <c r="G76" s="5">
        <v>80</v>
      </c>
    </row>
    <row r="77" spans="1:7" x14ac:dyDescent="0.25">
      <c r="A77" s="9">
        <v>46243</v>
      </c>
      <c r="B77" s="2">
        <f t="shared" si="2"/>
        <v>46243</v>
      </c>
      <c r="C77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W18 (8/8 - 14/8)</v>
      </c>
      <c r="D77" s="3" t="s">
        <v>22</v>
      </c>
      <c r="E77" s="3" t="s">
        <v>21</v>
      </c>
      <c r="F77" s="3">
        <v>10</v>
      </c>
      <c r="G77" s="5">
        <v>80</v>
      </c>
    </row>
    <row r="78" spans="1:7" x14ac:dyDescent="0.25">
      <c r="A78" s="4">
        <v>46244</v>
      </c>
      <c r="B78" s="2">
        <f t="shared" si="2"/>
        <v>46244</v>
      </c>
      <c r="C78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W18 (8/8 - 14/8)</v>
      </c>
      <c r="D78" s="3" t="s">
        <v>22</v>
      </c>
      <c r="E78" s="3" t="s">
        <v>21</v>
      </c>
      <c r="F78" s="3">
        <v>10</v>
      </c>
      <c r="G78" s="5">
        <v>80</v>
      </c>
    </row>
    <row r="79" spans="1:7" x14ac:dyDescent="0.25">
      <c r="A79" s="9">
        <v>46245</v>
      </c>
      <c r="B79" s="2">
        <f t="shared" si="2"/>
        <v>46245</v>
      </c>
      <c r="C79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W18 (8/8 - 14/8)</v>
      </c>
      <c r="D79" s="3" t="s">
        <v>22</v>
      </c>
      <c r="E79" s="3" t="s">
        <v>21</v>
      </c>
      <c r="F79" s="3">
        <v>10</v>
      </c>
      <c r="G79" s="5">
        <v>80</v>
      </c>
    </row>
    <row r="80" spans="1:7" x14ac:dyDescent="0.25">
      <c r="A80" s="4">
        <v>46246</v>
      </c>
      <c r="B80" s="2">
        <f t="shared" si="2"/>
        <v>46246</v>
      </c>
      <c r="C80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W18 (8/8 - 14/8)</v>
      </c>
      <c r="D80" s="3" t="s">
        <v>22</v>
      </c>
      <c r="E80" s="3" t="s">
        <v>21</v>
      </c>
      <c r="F80" s="3">
        <v>10</v>
      </c>
      <c r="G80" s="5">
        <v>80</v>
      </c>
    </row>
    <row r="81" spans="1:7" x14ac:dyDescent="0.25">
      <c r="A81" s="9">
        <v>46247</v>
      </c>
      <c r="B81" s="2">
        <f t="shared" si="2"/>
        <v>46247</v>
      </c>
      <c r="C81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W18 (8/8 - 14/8)</v>
      </c>
      <c r="D81" s="3" t="s">
        <v>22</v>
      </c>
      <c r="E81" s="3" t="s">
        <v>21</v>
      </c>
      <c r="F81" s="3">
        <v>10</v>
      </c>
      <c r="G81" s="5">
        <v>80</v>
      </c>
    </row>
    <row r="82" spans="1:7" x14ac:dyDescent="0.25">
      <c r="A82" s="4">
        <v>46248</v>
      </c>
      <c r="B82" s="2">
        <f t="shared" si="2"/>
        <v>46248</v>
      </c>
      <c r="C82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W18 (8/8 - 14/8)</v>
      </c>
      <c r="D82" s="3" t="s">
        <v>22</v>
      </c>
      <c r="E82" s="3" t="s">
        <v>21</v>
      </c>
      <c r="F82" s="3">
        <v>10</v>
      </c>
      <c r="G82" s="5">
        <v>80</v>
      </c>
    </row>
    <row r="83" spans="1:7" x14ac:dyDescent="0.25">
      <c r="A83" s="9">
        <v>46249</v>
      </c>
      <c r="B83" s="2">
        <f t="shared" si="2"/>
        <v>46249</v>
      </c>
      <c r="C83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W19 (15/8 - 21/8)</v>
      </c>
      <c r="D83" s="3" t="s">
        <v>22</v>
      </c>
      <c r="E83" s="3" t="s">
        <v>21</v>
      </c>
      <c r="F83" s="3">
        <v>10</v>
      </c>
      <c r="G83" s="5">
        <v>80</v>
      </c>
    </row>
    <row r="84" spans="1:7" x14ac:dyDescent="0.25">
      <c r="A84" s="4">
        <v>46250</v>
      </c>
      <c r="B84" s="2">
        <f t="shared" si="2"/>
        <v>46250</v>
      </c>
      <c r="C84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W19 (15/8 - 21/8)</v>
      </c>
      <c r="D84" s="3" t="s">
        <v>22</v>
      </c>
      <c r="E84" s="3" t="s">
        <v>21</v>
      </c>
      <c r="F84" s="3">
        <v>10</v>
      </c>
      <c r="G84" s="5">
        <v>80</v>
      </c>
    </row>
    <row r="85" spans="1:7" x14ac:dyDescent="0.25">
      <c r="A85" s="9">
        <v>46251</v>
      </c>
      <c r="B85" s="2">
        <f t="shared" si="2"/>
        <v>46251</v>
      </c>
      <c r="C85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W19 (15/8 - 21/8)</v>
      </c>
      <c r="D85" s="3" t="s">
        <v>22</v>
      </c>
      <c r="E85" s="3" t="s">
        <v>21</v>
      </c>
      <c r="F85" s="3">
        <v>10</v>
      </c>
      <c r="G85" s="5">
        <v>80</v>
      </c>
    </row>
    <row r="86" spans="1:7" x14ac:dyDescent="0.25">
      <c r="A86" s="4">
        <v>46252</v>
      </c>
      <c r="B86" s="2">
        <f t="shared" si="2"/>
        <v>46252</v>
      </c>
      <c r="C86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W19 (15/8 - 21/8)</v>
      </c>
      <c r="D86" s="3" t="s">
        <v>22</v>
      </c>
      <c r="E86" s="3" t="s">
        <v>21</v>
      </c>
      <c r="F86" s="3">
        <v>10</v>
      </c>
      <c r="G86" s="5">
        <v>80</v>
      </c>
    </row>
    <row r="87" spans="1:7" x14ac:dyDescent="0.25">
      <c r="A87" s="9">
        <v>46253</v>
      </c>
      <c r="B87" s="2">
        <f t="shared" si="2"/>
        <v>46253</v>
      </c>
      <c r="C87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W19 (15/8 - 21/8)</v>
      </c>
      <c r="D87" s="3" t="s">
        <v>22</v>
      </c>
      <c r="E87" s="3" t="s">
        <v>21</v>
      </c>
      <c r="F87" s="3">
        <v>10</v>
      </c>
      <c r="G87" s="5">
        <v>80</v>
      </c>
    </row>
    <row r="88" spans="1:7" x14ac:dyDescent="0.25">
      <c r="A88" s="4">
        <v>46254</v>
      </c>
      <c r="B88" s="2">
        <f t="shared" si="2"/>
        <v>46254</v>
      </c>
      <c r="C88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W19 (15/8 - 21/8)</v>
      </c>
      <c r="D88" s="3" t="s">
        <v>22</v>
      </c>
      <c r="E88" s="3" t="s">
        <v>21</v>
      </c>
      <c r="F88" s="3">
        <v>10</v>
      </c>
      <c r="G88" s="5">
        <v>80</v>
      </c>
    </row>
    <row r="89" spans="1:7" x14ac:dyDescent="0.25">
      <c r="A89" s="9">
        <v>46255</v>
      </c>
      <c r="B89" s="2">
        <f t="shared" si="2"/>
        <v>46255</v>
      </c>
      <c r="C89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W19 (15/8 - 21/8)</v>
      </c>
      <c r="D89" s="3" t="s">
        <v>22</v>
      </c>
      <c r="E89" s="3" t="s">
        <v>21</v>
      </c>
      <c r="F89" s="3">
        <v>10</v>
      </c>
      <c r="G89" s="5">
        <v>80</v>
      </c>
    </row>
    <row r="90" spans="1:7" x14ac:dyDescent="0.25">
      <c r="A90" s="4">
        <v>46256</v>
      </c>
      <c r="B90" s="2">
        <f t="shared" si="2"/>
        <v>46256</v>
      </c>
      <c r="C90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W20 (22/8 - 28/8)</v>
      </c>
      <c r="D90" s="3" t="s">
        <v>22</v>
      </c>
      <c r="E90" s="3" t="s">
        <v>21</v>
      </c>
      <c r="F90" s="3">
        <v>10</v>
      </c>
      <c r="G90" s="5">
        <v>80</v>
      </c>
    </row>
    <row r="91" spans="1:7" x14ac:dyDescent="0.25">
      <c r="A91" s="9">
        <v>46257</v>
      </c>
      <c r="B91" s="2">
        <f t="shared" si="2"/>
        <v>46257</v>
      </c>
      <c r="C91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W20 (22/8 - 28/8)</v>
      </c>
      <c r="D91" s="3" t="s">
        <v>22</v>
      </c>
      <c r="E91" s="3" t="s">
        <v>21</v>
      </c>
      <c r="F91" s="3">
        <v>10</v>
      </c>
      <c r="G91" s="5">
        <v>80</v>
      </c>
    </row>
    <row r="92" spans="1:7" x14ac:dyDescent="0.25">
      <c r="A92" s="4">
        <v>46258</v>
      </c>
      <c r="B92" s="2">
        <f t="shared" si="2"/>
        <v>46258</v>
      </c>
      <c r="C92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W20 (22/8 - 28/8)</v>
      </c>
      <c r="D92" s="3" t="s">
        <v>22</v>
      </c>
      <c r="E92" s="3" t="s">
        <v>21</v>
      </c>
      <c r="F92" s="3">
        <v>10</v>
      </c>
      <c r="G92" s="5">
        <v>80</v>
      </c>
    </row>
    <row r="93" spans="1:7" x14ac:dyDescent="0.25">
      <c r="A93" s="9">
        <v>46259</v>
      </c>
      <c r="B93" s="2">
        <f t="shared" si="2"/>
        <v>46259</v>
      </c>
      <c r="C93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W20 (22/8 - 28/8)</v>
      </c>
      <c r="D93" s="3" t="s">
        <v>22</v>
      </c>
      <c r="E93" s="3" t="s">
        <v>21</v>
      </c>
      <c r="F93" s="3">
        <v>0</v>
      </c>
      <c r="G93" s="5">
        <v>0</v>
      </c>
    </row>
    <row r="94" spans="1:7" x14ac:dyDescent="0.25">
      <c r="A94" s="4">
        <v>46260</v>
      </c>
      <c r="B94" s="2">
        <f t="shared" si="2"/>
        <v>46260</v>
      </c>
      <c r="C94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W20 (22/8 - 28/8)</v>
      </c>
      <c r="D94" s="3" t="s">
        <v>22</v>
      </c>
      <c r="E94" s="3" t="s">
        <v>21</v>
      </c>
      <c r="F94" s="3">
        <v>10</v>
      </c>
      <c r="G94" s="5">
        <v>80</v>
      </c>
    </row>
    <row r="95" spans="1:7" x14ac:dyDescent="0.25">
      <c r="A95" s="9">
        <v>46261</v>
      </c>
      <c r="B95" s="2">
        <f t="shared" si="2"/>
        <v>46261</v>
      </c>
      <c r="C95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W20 (22/8 - 28/8)</v>
      </c>
      <c r="D95" s="3" t="s">
        <v>22</v>
      </c>
      <c r="E95" s="3" t="s">
        <v>21</v>
      </c>
      <c r="F95" s="3">
        <v>10</v>
      </c>
      <c r="G95" s="5">
        <v>80</v>
      </c>
    </row>
    <row r="96" spans="1:7" x14ac:dyDescent="0.25">
      <c r="A96" s="4">
        <v>46262</v>
      </c>
      <c r="B96" s="2">
        <f t="shared" si="2"/>
        <v>46262</v>
      </c>
      <c r="C96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W20 (22/8 - 28/8)</v>
      </c>
      <c r="D96" s="3" t="s">
        <v>22</v>
      </c>
      <c r="E96" s="3" t="s">
        <v>21</v>
      </c>
      <c r="F96" s="3">
        <v>11</v>
      </c>
      <c r="G96" s="5">
        <v>88</v>
      </c>
    </row>
    <row r="97" spans="1:7" x14ac:dyDescent="0.25">
      <c r="A97" s="9">
        <v>46263</v>
      </c>
      <c r="B97" s="2">
        <f t="shared" si="2"/>
        <v>46263</v>
      </c>
      <c r="C97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W21 (29/8 - 4/9)</v>
      </c>
      <c r="D97" s="3" t="s">
        <v>22</v>
      </c>
      <c r="E97" s="3" t="s">
        <v>21</v>
      </c>
      <c r="F97" s="3">
        <v>11</v>
      </c>
      <c r="G97" s="5">
        <v>88</v>
      </c>
    </row>
    <row r="98" spans="1:7" x14ac:dyDescent="0.25">
      <c r="A98" s="4">
        <v>46264</v>
      </c>
      <c r="B98" s="2">
        <f t="shared" si="2"/>
        <v>46264</v>
      </c>
      <c r="C98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W21 (29/8 - 4/9)</v>
      </c>
      <c r="D98" s="3" t="s">
        <v>22</v>
      </c>
      <c r="E98" s="3" t="s">
        <v>21</v>
      </c>
      <c r="F98" s="3">
        <v>10</v>
      </c>
      <c r="G98" s="5">
        <v>80</v>
      </c>
    </row>
    <row r="99" spans="1:7" x14ac:dyDescent="0.25">
      <c r="A99" s="9">
        <v>46265</v>
      </c>
      <c r="B99" s="10">
        <f t="shared" si="2"/>
        <v>46265</v>
      </c>
      <c r="C99" s="11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W21 (29/8 - 4/9)</v>
      </c>
      <c r="D99" s="3" t="s">
        <v>22</v>
      </c>
      <c r="E99" s="3" t="s">
        <v>21</v>
      </c>
      <c r="F99" s="11">
        <v>0</v>
      </c>
      <c r="G99" s="12">
        <v>0</v>
      </c>
    </row>
    <row r="100" spans="1:7" x14ac:dyDescent="0.25">
      <c r="A100" s="4">
        <v>46266</v>
      </c>
      <c r="B100" s="2">
        <f t="shared" si="2"/>
        <v>46266</v>
      </c>
      <c r="C100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W21 (29/8 - 4/9)</v>
      </c>
      <c r="D100" s="3" t="s">
        <v>22</v>
      </c>
      <c r="E100" s="3" t="s">
        <v>21</v>
      </c>
      <c r="F100" s="3">
        <v>10</v>
      </c>
      <c r="G100" s="5">
        <v>80</v>
      </c>
    </row>
    <row r="101" spans="1:7" x14ac:dyDescent="0.25">
      <c r="A101" s="9">
        <v>46267</v>
      </c>
      <c r="B101" s="2">
        <f t="shared" si="2"/>
        <v>46267</v>
      </c>
      <c r="C101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W21 (29/8 - 4/9)</v>
      </c>
      <c r="D101" s="3" t="s">
        <v>22</v>
      </c>
      <c r="E101" s="3" t="s">
        <v>21</v>
      </c>
      <c r="F101" s="3">
        <v>10</v>
      </c>
      <c r="G101" s="5">
        <v>80</v>
      </c>
    </row>
    <row r="102" spans="1:7" x14ac:dyDescent="0.25">
      <c r="A102" s="4">
        <v>46268</v>
      </c>
      <c r="B102" s="2">
        <f t="shared" ref="B102:B133" si="3">A102</f>
        <v>46268</v>
      </c>
      <c r="C102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W21 (29/8 - 4/9)</v>
      </c>
      <c r="D102" s="3" t="s">
        <v>22</v>
      </c>
      <c r="E102" s="3" t="s">
        <v>21</v>
      </c>
      <c r="F102" s="3">
        <v>10</v>
      </c>
      <c r="G102" s="5">
        <v>80</v>
      </c>
    </row>
    <row r="103" spans="1:7" x14ac:dyDescent="0.25">
      <c r="A103" s="9">
        <v>46269</v>
      </c>
      <c r="B103" s="2">
        <f t="shared" si="3"/>
        <v>46269</v>
      </c>
      <c r="C103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W21 (29/8 - 4/9)</v>
      </c>
      <c r="D103" s="3" t="s">
        <v>22</v>
      </c>
      <c r="E103" s="3" t="s">
        <v>21</v>
      </c>
      <c r="F103" s="3">
        <v>10</v>
      </c>
      <c r="G103" s="5">
        <v>80</v>
      </c>
    </row>
    <row r="104" spans="1:7" x14ac:dyDescent="0.25">
      <c r="A104" s="4">
        <v>46270</v>
      </c>
      <c r="B104" s="2">
        <f t="shared" si="3"/>
        <v>46270</v>
      </c>
      <c r="C104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W22 (5/9 - 11/9)</v>
      </c>
      <c r="D104" s="3" t="s">
        <v>22</v>
      </c>
      <c r="E104" s="3" t="s">
        <v>21</v>
      </c>
      <c r="F104" s="3">
        <v>10</v>
      </c>
      <c r="G104" s="5">
        <v>80</v>
      </c>
    </row>
    <row r="105" spans="1:7" x14ac:dyDescent="0.25">
      <c r="A105" s="9">
        <v>46271</v>
      </c>
      <c r="B105" s="2">
        <f t="shared" si="3"/>
        <v>46271</v>
      </c>
      <c r="C105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W22 (5/9 - 11/9)</v>
      </c>
      <c r="D105" s="3" t="s">
        <v>22</v>
      </c>
      <c r="E105" s="3" t="s">
        <v>21</v>
      </c>
      <c r="F105" s="3">
        <v>0</v>
      </c>
      <c r="G105" s="5">
        <v>0</v>
      </c>
    </row>
    <row r="106" spans="1:7" x14ac:dyDescent="0.25">
      <c r="A106" s="4">
        <v>46272</v>
      </c>
      <c r="B106" s="2">
        <f t="shared" si="3"/>
        <v>46272</v>
      </c>
      <c r="C106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W22 (5/9 - 11/9)</v>
      </c>
      <c r="D106" s="3" t="s">
        <v>22</v>
      </c>
      <c r="E106" s="3" t="s">
        <v>21</v>
      </c>
      <c r="F106" s="3">
        <v>10</v>
      </c>
      <c r="G106" s="5">
        <v>80</v>
      </c>
    </row>
    <row r="107" spans="1:7" x14ac:dyDescent="0.25">
      <c r="A107" s="9">
        <v>46273</v>
      </c>
      <c r="B107" s="2">
        <f t="shared" si="3"/>
        <v>46273</v>
      </c>
      <c r="C107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W22 (5/9 - 11/9)</v>
      </c>
      <c r="D107" s="3" t="s">
        <v>22</v>
      </c>
      <c r="E107" s="3" t="s">
        <v>21</v>
      </c>
      <c r="F107" s="3">
        <v>2</v>
      </c>
      <c r="G107" s="5">
        <v>16</v>
      </c>
    </row>
    <row r="108" spans="1:7" x14ac:dyDescent="0.25">
      <c r="A108" s="4">
        <v>46274</v>
      </c>
      <c r="B108" s="2">
        <f t="shared" si="3"/>
        <v>46274</v>
      </c>
      <c r="C108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W22 (5/9 - 11/9)</v>
      </c>
      <c r="D108" s="3" t="s">
        <v>22</v>
      </c>
      <c r="E108" s="3" t="s">
        <v>21</v>
      </c>
      <c r="F108" s="3">
        <v>2</v>
      </c>
      <c r="G108" s="5">
        <v>16</v>
      </c>
    </row>
    <row r="109" spans="1:7" x14ac:dyDescent="0.25">
      <c r="A109" s="9">
        <v>46275</v>
      </c>
      <c r="B109" s="2">
        <f t="shared" si="3"/>
        <v>46275</v>
      </c>
      <c r="C109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W22 (5/9 - 11/9)</v>
      </c>
      <c r="D109" s="3" t="s">
        <v>22</v>
      </c>
      <c r="E109" s="3" t="s">
        <v>21</v>
      </c>
      <c r="F109" s="3">
        <v>2</v>
      </c>
      <c r="G109" s="5">
        <v>16</v>
      </c>
    </row>
    <row r="110" spans="1:7" x14ac:dyDescent="0.25">
      <c r="A110" s="4">
        <v>46276</v>
      </c>
      <c r="B110" s="2">
        <f t="shared" si="3"/>
        <v>46276</v>
      </c>
      <c r="C110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W22 (5/9 - 11/9)</v>
      </c>
      <c r="D110" s="3" t="s">
        <v>22</v>
      </c>
      <c r="E110" s="3" t="s">
        <v>21</v>
      </c>
      <c r="F110" s="3">
        <v>2</v>
      </c>
      <c r="G110" s="5">
        <v>16</v>
      </c>
    </row>
    <row r="111" spans="1:7" x14ac:dyDescent="0.25">
      <c r="A111" s="9">
        <v>46277</v>
      </c>
      <c r="B111" s="2">
        <f t="shared" si="3"/>
        <v>46277</v>
      </c>
      <c r="C111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W23 (12/9 - 18/9)</v>
      </c>
      <c r="D111" s="3" t="s">
        <v>22</v>
      </c>
      <c r="E111" s="3" t="s">
        <v>21</v>
      </c>
      <c r="F111" s="3">
        <v>2</v>
      </c>
      <c r="G111" s="5">
        <v>16</v>
      </c>
    </row>
    <row r="112" spans="1:7" x14ac:dyDescent="0.25">
      <c r="A112" s="4">
        <v>46278</v>
      </c>
      <c r="B112" s="2">
        <f t="shared" si="3"/>
        <v>46278</v>
      </c>
      <c r="C112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W23 (12/9 - 18/9)</v>
      </c>
      <c r="D112" s="3" t="s">
        <v>22</v>
      </c>
      <c r="E112" s="3" t="s">
        <v>21</v>
      </c>
      <c r="F112" s="3">
        <v>2</v>
      </c>
      <c r="G112" s="5">
        <v>16</v>
      </c>
    </row>
    <row r="113" spans="1:7" x14ac:dyDescent="0.25">
      <c r="A113" s="9">
        <v>46279</v>
      </c>
      <c r="B113" s="2">
        <f t="shared" si="3"/>
        <v>46279</v>
      </c>
      <c r="C113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W23 (12/9 - 18/9)</v>
      </c>
      <c r="D113" s="3" t="s">
        <v>22</v>
      </c>
      <c r="E113" s="3" t="s">
        <v>21</v>
      </c>
      <c r="F113" s="3">
        <v>2</v>
      </c>
      <c r="G113" s="5">
        <v>16</v>
      </c>
    </row>
    <row r="114" spans="1:7" x14ac:dyDescent="0.25">
      <c r="A114" s="4">
        <v>46280</v>
      </c>
      <c r="B114" s="2">
        <f t="shared" si="3"/>
        <v>46280</v>
      </c>
      <c r="C114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W23 (12/9 - 18/9)</v>
      </c>
      <c r="D114" s="3" t="s">
        <v>22</v>
      </c>
      <c r="E114" s="3" t="s">
        <v>21</v>
      </c>
      <c r="F114" s="3">
        <v>2</v>
      </c>
      <c r="G114" s="5">
        <v>16</v>
      </c>
    </row>
    <row r="115" spans="1:7" x14ac:dyDescent="0.25">
      <c r="A115" s="9">
        <v>46281</v>
      </c>
      <c r="B115" s="2">
        <f t="shared" si="3"/>
        <v>46281</v>
      </c>
      <c r="C115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W23 (12/9 - 18/9)</v>
      </c>
      <c r="D115" s="3" t="s">
        <v>22</v>
      </c>
      <c r="E115" s="3" t="s">
        <v>21</v>
      </c>
      <c r="F115" s="3">
        <v>2</v>
      </c>
      <c r="G115" s="5">
        <v>16</v>
      </c>
    </row>
    <row r="116" spans="1:7" x14ac:dyDescent="0.25">
      <c r="A116" s="4">
        <v>46282</v>
      </c>
      <c r="B116" s="2">
        <f t="shared" si="3"/>
        <v>46282</v>
      </c>
      <c r="C116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W23 (12/9 - 18/9)</v>
      </c>
      <c r="D116" s="3" t="s">
        <v>22</v>
      </c>
      <c r="E116" s="3" t="s">
        <v>21</v>
      </c>
      <c r="F116" s="3">
        <v>2</v>
      </c>
      <c r="G116" s="5">
        <v>16</v>
      </c>
    </row>
    <row r="117" spans="1:7" x14ac:dyDescent="0.25">
      <c r="A117" s="9">
        <v>46283</v>
      </c>
      <c r="B117" s="2">
        <f t="shared" si="3"/>
        <v>46283</v>
      </c>
      <c r="C117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W23 (12/9 - 18/9)</v>
      </c>
      <c r="D117" s="3" t="s">
        <v>22</v>
      </c>
      <c r="E117" s="3" t="s">
        <v>21</v>
      </c>
      <c r="F117" s="3">
        <v>2</v>
      </c>
      <c r="G117" s="5">
        <v>16</v>
      </c>
    </row>
    <row r="118" spans="1:7" x14ac:dyDescent="0.25">
      <c r="A118" s="4">
        <v>46284</v>
      </c>
      <c r="B118" s="2">
        <f t="shared" si="3"/>
        <v>46284</v>
      </c>
      <c r="C118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W24 (19/9 - 25/9)</v>
      </c>
      <c r="D118" s="3" t="s">
        <v>22</v>
      </c>
      <c r="E118" s="3" t="s">
        <v>21</v>
      </c>
      <c r="F118" s="3">
        <v>2</v>
      </c>
      <c r="G118" s="5">
        <v>16</v>
      </c>
    </row>
    <row r="119" spans="1:7" x14ac:dyDescent="0.25">
      <c r="A119" s="9">
        <v>46285</v>
      </c>
      <c r="B119" s="2">
        <f t="shared" si="3"/>
        <v>46285</v>
      </c>
      <c r="C119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W24 (19/9 - 25/9)</v>
      </c>
      <c r="D119" s="3" t="s">
        <v>22</v>
      </c>
      <c r="E119" s="3" t="s">
        <v>21</v>
      </c>
      <c r="F119" s="3">
        <v>2</v>
      </c>
      <c r="G119" s="5">
        <v>16</v>
      </c>
    </row>
    <row r="120" spans="1:7" x14ac:dyDescent="0.25">
      <c r="A120" s="4">
        <v>46286</v>
      </c>
      <c r="B120" s="2">
        <f t="shared" si="3"/>
        <v>46286</v>
      </c>
      <c r="C120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W24 (19/9 - 25/9)</v>
      </c>
      <c r="D120" s="3" t="s">
        <v>22</v>
      </c>
      <c r="E120" s="3" t="s">
        <v>21</v>
      </c>
      <c r="F120" s="3">
        <v>2</v>
      </c>
      <c r="G120" s="5">
        <v>16</v>
      </c>
    </row>
    <row r="121" spans="1:7" x14ac:dyDescent="0.25">
      <c r="A121" s="9">
        <v>46287</v>
      </c>
      <c r="B121" s="2">
        <f t="shared" si="3"/>
        <v>46287</v>
      </c>
      <c r="C121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W24 (19/9 - 25/9)</v>
      </c>
      <c r="D121" s="3" t="s">
        <v>22</v>
      </c>
      <c r="E121" s="3" t="s">
        <v>21</v>
      </c>
      <c r="F121" s="3">
        <v>2</v>
      </c>
      <c r="G121" s="5">
        <v>16</v>
      </c>
    </row>
    <row r="122" spans="1:7" x14ac:dyDescent="0.25">
      <c r="A122" s="4">
        <v>46288</v>
      </c>
      <c r="B122" s="2">
        <f t="shared" si="3"/>
        <v>46288</v>
      </c>
      <c r="C122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W24 (19/9 - 25/9)</v>
      </c>
      <c r="D122" s="3" t="s">
        <v>22</v>
      </c>
      <c r="E122" s="3" t="s">
        <v>21</v>
      </c>
      <c r="F122" s="3">
        <v>2</v>
      </c>
      <c r="G122" s="5">
        <v>16</v>
      </c>
    </row>
    <row r="123" spans="1:7" x14ac:dyDescent="0.25">
      <c r="A123" s="9">
        <v>46289</v>
      </c>
      <c r="B123" s="2">
        <f t="shared" si="3"/>
        <v>46289</v>
      </c>
      <c r="C123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W24 (19/9 - 25/9)</v>
      </c>
      <c r="D123" s="3" t="s">
        <v>22</v>
      </c>
      <c r="E123" s="3" t="s">
        <v>21</v>
      </c>
      <c r="F123" s="3">
        <v>2</v>
      </c>
      <c r="G123" s="5">
        <v>16</v>
      </c>
    </row>
    <row r="124" spans="1:7" x14ac:dyDescent="0.25">
      <c r="A124" s="4">
        <v>46290</v>
      </c>
      <c r="B124" s="2">
        <f t="shared" si="3"/>
        <v>46290</v>
      </c>
      <c r="C124" s="3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W24 (19/9 - 25/9)</v>
      </c>
      <c r="D124" s="3" t="s">
        <v>22</v>
      </c>
      <c r="E124" s="3" t="s">
        <v>21</v>
      </c>
      <c r="F124" s="3">
        <v>2</v>
      </c>
      <c r="G124" s="5">
        <v>16</v>
      </c>
    </row>
    <row r="125" spans="1:7" x14ac:dyDescent="0.25">
      <c r="A125" s="46">
        <v>46291</v>
      </c>
      <c r="B125" s="2">
        <f t="shared" si="3"/>
        <v>46291</v>
      </c>
      <c r="C125" s="47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W25 (26/9 - 2/10)</v>
      </c>
      <c r="D125" s="3" t="s">
        <v>22</v>
      </c>
      <c r="E125" s="3" t="s">
        <v>21</v>
      </c>
      <c r="F125" s="3">
        <v>2</v>
      </c>
      <c r="G125" s="5">
        <v>16</v>
      </c>
    </row>
    <row r="126" spans="1:7" x14ac:dyDescent="0.25">
      <c r="A126" s="46">
        <v>46292</v>
      </c>
      <c r="B126" s="2">
        <f>A126</f>
        <v>46292</v>
      </c>
      <c r="C126" s="47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W25 (26/9 - 2/10)</v>
      </c>
      <c r="D126" s="3" t="s">
        <v>22</v>
      </c>
      <c r="E126" s="3" t="s">
        <v>21</v>
      </c>
      <c r="F126" s="3">
        <v>2</v>
      </c>
      <c r="G126" s="5">
        <v>16</v>
      </c>
    </row>
    <row r="127" spans="1:7" x14ac:dyDescent="0.25">
      <c r="A127" s="46">
        <v>46293</v>
      </c>
      <c r="B127" s="2">
        <f t="shared" ref="B127:B131" si="4">A127</f>
        <v>46293</v>
      </c>
      <c r="C127" s="47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W25 (26/9 - 2/10)</v>
      </c>
      <c r="D127" s="3" t="s">
        <v>22</v>
      </c>
      <c r="E127" s="3" t="s">
        <v>21</v>
      </c>
      <c r="F127" s="3">
        <v>2</v>
      </c>
      <c r="G127" s="5">
        <v>16</v>
      </c>
    </row>
    <row r="128" spans="1:7" x14ac:dyDescent="0.25">
      <c r="A128" s="46">
        <v>46294</v>
      </c>
      <c r="B128" s="2">
        <f t="shared" si="4"/>
        <v>46294</v>
      </c>
      <c r="C128" s="47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W25 (26/9 - 2/10)</v>
      </c>
      <c r="D128" s="3" t="s">
        <v>22</v>
      </c>
      <c r="E128" s="3" t="s">
        <v>21</v>
      </c>
      <c r="F128" s="3">
        <v>2</v>
      </c>
      <c r="G128" s="5">
        <v>16</v>
      </c>
    </row>
    <row r="129" spans="1:7" x14ac:dyDescent="0.25">
      <c r="A129" s="46">
        <v>46295</v>
      </c>
      <c r="B129" s="2">
        <f t="shared" si="4"/>
        <v>46295</v>
      </c>
      <c r="C129" s="47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W25 (26/9 - 2/10)</v>
      </c>
      <c r="D129" s="3" t="s">
        <v>22</v>
      </c>
      <c r="E129" s="3" t="s">
        <v>21</v>
      </c>
      <c r="F129" s="3">
        <v>2</v>
      </c>
      <c r="G129" s="5">
        <v>16</v>
      </c>
    </row>
    <row r="130" spans="1:7" x14ac:dyDescent="0.25">
      <c r="A130" s="46">
        <v>46296</v>
      </c>
      <c r="B130" s="2">
        <f t="shared" si="4"/>
        <v>46296</v>
      </c>
      <c r="C130" s="47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W25 (26/9 - 2/10)</v>
      </c>
      <c r="D130" s="3" t="s">
        <v>22</v>
      </c>
      <c r="E130" s="3" t="s">
        <v>21</v>
      </c>
      <c r="F130" s="3">
        <v>2</v>
      </c>
      <c r="G130" s="5">
        <v>16</v>
      </c>
    </row>
    <row r="131" spans="1:7" x14ac:dyDescent="0.25">
      <c r="A131" s="48">
        <v>46297</v>
      </c>
      <c r="B131" s="10">
        <f t="shared" si="4"/>
        <v>46297</v>
      </c>
      <c r="C131" s="49" t="str">
        <f>IF([1]!KROTARY[[#This Row],[DATE]]&lt;DATE(2026,4,11),"0",_xlfn.LET(
_xlpm.W,INT(([1]!KROTARY[[#This Row],[DATE]]-DATE(2026,4,11))/7)+1,
_xlpm.S,DATE(2026,4,11)+(_xlpm.W-1)*7,
_xlpm.E,_xlpm.S+6,
"W"&amp;TEXT(_xlpm.W,"00")&amp;" ("&amp;TEXT(_xlpm.S,"d/m")&amp;" - "&amp;TEXT(_xlpm.E,"d/m")&amp;")"
))</f>
        <v>W25 (26/9 - 2/10)</v>
      </c>
      <c r="D131" s="11" t="s">
        <v>22</v>
      </c>
      <c r="E131" s="11" t="s">
        <v>21</v>
      </c>
      <c r="F131" s="11">
        <v>2</v>
      </c>
      <c r="G131" s="12">
        <v>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G68"/>
  <sheetViews>
    <sheetView topLeftCell="A37" zoomScaleNormal="100" workbookViewId="0">
      <selection activeCell="H72" sqref="H72"/>
    </sheetView>
  </sheetViews>
  <sheetFormatPr defaultColWidth="8.85546875" defaultRowHeight="12.75" x14ac:dyDescent="0.25"/>
  <cols>
    <col min="1" max="1" width="18.7109375" style="1" customWidth="1"/>
    <col min="2" max="2" width="13.7109375" style="1" customWidth="1"/>
    <col min="3" max="3" width="17.85546875" style="1" bestFit="1" customWidth="1"/>
    <col min="4" max="7" width="21.85546875" style="1" customWidth="1"/>
    <col min="8" max="8" width="8.85546875" style="1" customWidth="1"/>
    <col min="9" max="16384" width="8.85546875" style="1"/>
  </cols>
  <sheetData>
    <row r="5" spans="1:7" x14ac:dyDescent="0.25">
      <c r="A5" s="6" t="s">
        <v>0</v>
      </c>
      <c r="B5" s="7" t="s">
        <v>1</v>
      </c>
      <c r="C5" s="7" t="s">
        <v>2</v>
      </c>
      <c r="D5" s="7" t="s">
        <v>12</v>
      </c>
      <c r="E5" s="7" t="s">
        <v>13</v>
      </c>
      <c r="F5" s="7" t="s">
        <v>14</v>
      </c>
      <c r="G5" s="8" t="s">
        <v>15</v>
      </c>
    </row>
    <row r="6" spans="1:7" x14ac:dyDescent="0.25">
      <c r="A6" s="4">
        <v>46172</v>
      </c>
      <c r="B6" s="2">
        <f t="shared" ref="B6:B37" si="0">A6</f>
        <v>46172</v>
      </c>
      <c r="C6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W08 (30/5 - 5/6)</v>
      </c>
      <c r="D6" s="3" t="s">
        <v>23</v>
      </c>
      <c r="E6" s="3" t="s">
        <v>21</v>
      </c>
      <c r="F6" s="3">
        <v>4</v>
      </c>
      <c r="G6" s="5">
        <v>32</v>
      </c>
    </row>
    <row r="7" spans="1:7" x14ac:dyDescent="0.25">
      <c r="A7" s="4">
        <v>46173</v>
      </c>
      <c r="B7" s="2">
        <f t="shared" si="0"/>
        <v>46173</v>
      </c>
      <c r="C7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W08 (30/5 - 5/6)</v>
      </c>
      <c r="D7" s="3" t="s">
        <v>23</v>
      </c>
      <c r="E7" s="3" t="s">
        <v>21</v>
      </c>
      <c r="F7" s="3">
        <v>4</v>
      </c>
      <c r="G7" s="5">
        <v>32</v>
      </c>
    </row>
    <row r="8" spans="1:7" x14ac:dyDescent="0.25">
      <c r="A8" s="4">
        <v>46174</v>
      </c>
      <c r="B8" s="2">
        <f t="shared" si="0"/>
        <v>46174</v>
      </c>
      <c r="C8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W08 (30/5 - 5/6)</v>
      </c>
      <c r="D8" s="3" t="s">
        <v>23</v>
      </c>
      <c r="E8" s="3" t="s">
        <v>21</v>
      </c>
      <c r="F8" s="3">
        <v>0</v>
      </c>
      <c r="G8" s="5">
        <v>0</v>
      </c>
    </row>
    <row r="9" spans="1:7" x14ac:dyDescent="0.25">
      <c r="A9" s="4">
        <v>46175</v>
      </c>
      <c r="B9" s="2">
        <f t="shared" si="0"/>
        <v>46175</v>
      </c>
      <c r="C9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W08 (30/5 - 5/6)</v>
      </c>
      <c r="D9" s="3" t="s">
        <v>23</v>
      </c>
      <c r="E9" s="3" t="s">
        <v>21</v>
      </c>
      <c r="F9" s="3">
        <v>0</v>
      </c>
      <c r="G9" s="5">
        <v>0</v>
      </c>
    </row>
    <row r="10" spans="1:7" x14ac:dyDescent="0.25">
      <c r="A10" s="4">
        <v>46176</v>
      </c>
      <c r="B10" s="2">
        <f t="shared" si="0"/>
        <v>46176</v>
      </c>
      <c r="C10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W08 (30/5 - 5/6)</v>
      </c>
      <c r="D10" s="3" t="s">
        <v>23</v>
      </c>
      <c r="E10" s="3" t="s">
        <v>21</v>
      </c>
      <c r="F10" s="3">
        <v>0</v>
      </c>
      <c r="G10" s="5">
        <v>0</v>
      </c>
    </row>
    <row r="11" spans="1:7" x14ac:dyDescent="0.25">
      <c r="A11" s="4">
        <v>46177</v>
      </c>
      <c r="B11" s="2">
        <f t="shared" si="0"/>
        <v>46177</v>
      </c>
      <c r="C11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W08 (30/5 - 5/6)</v>
      </c>
      <c r="D11" s="3" t="s">
        <v>23</v>
      </c>
      <c r="E11" s="3" t="s">
        <v>21</v>
      </c>
      <c r="F11" s="3">
        <v>0</v>
      </c>
      <c r="G11" s="5">
        <v>0</v>
      </c>
    </row>
    <row r="12" spans="1:7" x14ac:dyDescent="0.25">
      <c r="A12" s="4">
        <v>46178</v>
      </c>
      <c r="B12" s="2">
        <f t="shared" si="0"/>
        <v>46178</v>
      </c>
      <c r="C12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W08 (30/5 - 5/6)</v>
      </c>
      <c r="D12" s="3" t="s">
        <v>23</v>
      </c>
      <c r="E12" s="3" t="s">
        <v>21</v>
      </c>
      <c r="F12" s="3">
        <v>0</v>
      </c>
      <c r="G12" s="5">
        <v>0</v>
      </c>
    </row>
    <row r="13" spans="1:7" x14ac:dyDescent="0.25">
      <c r="A13" s="4">
        <v>46179</v>
      </c>
      <c r="B13" s="2">
        <f t="shared" si="0"/>
        <v>46179</v>
      </c>
      <c r="C13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W09 (6/6 - 12/6)</v>
      </c>
      <c r="D13" s="3" t="s">
        <v>23</v>
      </c>
      <c r="E13" s="3" t="s">
        <v>21</v>
      </c>
      <c r="F13" s="3">
        <v>0</v>
      </c>
      <c r="G13" s="5">
        <v>0</v>
      </c>
    </row>
    <row r="14" spans="1:7" x14ac:dyDescent="0.25">
      <c r="A14" s="4">
        <v>46180</v>
      </c>
      <c r="B14" s="2">
        <f t="shared" si="0"/>
        <v>46180</v>
      </c>
      <c r="C14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W09 (6/6 - 12/6)</v>
      </c>
      <c r="D14" s="3" t="s">
        <v>23</v>
      </c>
      <c r="E14" s="3" t="s">
        <v>21</v>
      </c>
      <c r="F14" s="3">
        <v>0</v>
      </c>
      <c r="G14" s="5">
        <v>0</v>
      </c>
    </row>
    <row r="15" spans="1:7" x14ac:dyDescent="0.25">
      <c r="A15" s="4">
        <v>46181</v>
      </c>
      <c r="B15" s="2">
        <f t="shared" si="0"/>
        <v>46181</v>
      </c>
      <c r="C15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W09 (6/6 - 12/6)</v>
      </c>
      <c r="D15" s="3" t="s">
        <v>23</v>
      </c>
      <c r="E15" s="3" t="s">
        <v>21</v>
      </c>
      <c r="F15" s="3">
        <v>0</v>
      </c>
      <c r="G15" s="5">
        <v>0</v>
      </c>
    </row>
    <row r="16" spans="1:7" x14ac:dyDescent="0.25">
      <c r="A16" s="4">
        <v>46182</v>
      </c>
      <c r="B16" s="2">
        <f t="shared" si="0"/>
        <v>46182</v>
      </c>
      <c r="C16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W09 (6/6 - 12/6)</v>
      </c>
      <c r="D16" s="3" t="s">
        <v>23</v>
      </c>
      <c r="E16" s="3" t="s">
        <v>21</v>
      </c>
      <c r="F16" s="3">
        <v>0</v>
      </c>
      <c r="G16" s="5">
        <v>0</v>
      </c>
    </row>
    <row r="17" spans="1:7" x14ac:dyDescent="0.25">
      <c r="A17" s="4">
        <v>46183</v>
      </c>
      <c r="B17" s="2">
        <f t="shared" si="0"/>
        <v>46183</v>
      </c>
      <c r="C17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W09 (6/6 - 12/6)</v>
      </c>
      <c r="D17" s="3" t="s">
        <v>23</v>
      </c>
      <c r="E17" s="3" t="s">
        <v>21</v>
      </c>
      <c r="F17" s="3">
        <v>0</v>
      </c>
      <c r="G17" s="5">
        <v>0</v>
      </c>
    </row>
    <row r="18" spans="1:7" x14ac:dyDescent="0.25">
      <c r="A18" s="4">
        <v>46184</v>
      </c>
      <c r="B18" s="2">
        <f t="shared" si="0"/>
        <v>46184</v>
      </c>
      <c r="C18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W09 (6/6 - 12/6)</v>
      </c>
      <c r="D18" s="3" t="s">
        <v>23</v>
      </c>
      <c r="E18" s="3" t="s">
        <v>21</v>
      </c>
      <c r="F18" s="3">
        <v>0</v>
      </c>
      <c r="G18" s="5">
        <v>0</v>
      </c>
    </row>
    <row r="19" spans="1:7" x14ac:dyDescent="0.25">
      <c r="A19" s="4">
        <v>46185</v>
      </c>
      <c r="B19" s="2">
        <f t="shared" si="0"/>
        <v>46185</v>
      </c>
      <c r="C19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W09 (6/6 - 12/6)</v>
      </c>
      <c r="D19" s="3" t="s">
        <v>23</v>
      </c>
      <c r="E19" s="3" t="s">
        <v>21</v>
      </c>
      <c r="F19" s="3">
        <v>0</v>
      </c>
      <c r="G19" s="5">
        <v>0</v>
      </c>
    </row>
    <row r="20" spans="1:7" x14ac:dyDescent="0.25">
      <c r="A20" s="4">
        <v>46186</v>
      </c>
      <c r="B20" s="2">
        <f t="shared" si="0"/>
        <v>46186</v>
      </c>
      <c r="C20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W10 (13/6 - 19/6)</v>
      </c>
      <c r="D20" s="3" t="s">
        <v>23</v>
      </c>
      <c r="E20" s="3" t="s">
        <v>21</v>
      </c>
      <c r="F20" s="3">
        <v>0</v>
      </c>
      <c r="G20" s="5">
        <v>0</v>
      </c>
    </row>
    <row r="21" spans="1:7" x14ac:dyDescent="0.25">
      <c r="A21" s="4">
        <v>46187</v>
      </c>
      <c r="B21" s="2">
        <f t="shared" si="0"/>
        <v>46187</v>
      </c>
      <c r="C21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W10 (13/6 - 19/6)</v>
      </c>
      <c r="D21" s="3" t="s">
        <v>23</v>
      </c>
      <c r="E21" s="3" t="s">
        <v>21</v>
      </c>
      <c r="F21" s="3">
        <v>0</v>
      </c>
      <c r="G21" s="5">
        <v>0</v>
      </c>
    </row>
    <row r="22" spans="1:7" x14ac:dyDescent="0.25">
      <c r="A22" s="4">
        <v>46188</v>
      </c>
      <c r="B22" s="2">
        <f t="shared" si="0"/>
        <v>46188</v>
      </c>
      <c r="C22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W10 (13/6 - 19/6)</v>
      </c>
      <c r="D22" s="3" t="s">
        <v>23</v>
      </c>
      <c r="E22" s="3" t="s">
        <v>21</v>
      </c>
      <c r="F22" s="3">
        <v>0</v>
      </c>
      <c r="G22" s="5">
        <v>0</v>
      </c>
    </row>
    <row r="23" spans="1:7" x14ac:dyDescent="0.25">
      <c r="A23" s="4">
        <v>46189</v>
      </c>
      <c r="B23" s="2">
        <f t="shared" si="0"/>
        <v>46189</v>
      </c>
      <c r="C23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W10 (13/6 - 19/6)</v>
      </c>
      <c r="D23" s="3" t="s">
        <v>23</v>
      </c>
      <c r="E23" s="3" t="s">
        <v>21</v>
      </c>
      <c r="F23" s="3">
        <v>0</v>
      </c>
      <c r="G23" s="5">
        <v>0</v>
      </c>
    </row>
    <row r="24" spans="1:7" x14ac:dyDescent="0.25">
      <c r="A24" s="4">
        <v>46190</v>
      </c>
      <c r="B24" s="2">
        <f t="shared" si="0"/>
        <v>46190</v>
      </c>
      <c r="C24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W10 (13/6 - 19/6)</v>
      </c>
      <c r="D24" s="3" t="s">
        <v>23</v>
      </c>
      <c r="E24" s="3" t="s">
        <v>21</v>
      </c>
      <c r="F24" s="3">
        <v>0</v>
      </c>
      <c r="G24" s="5">
        <v>0</v>
      </c>
    </row>
    <row r="25" spans="1:7" x14ac:dyDescent="0.25">
      <c r="A25" s="4">
        <v>46191</v>
      </c>
      <c r="B25" s="2">
        <f t="shared" si="0"/>
        <v>46191</v>
      </c>
      <c r="C25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W10 (13/6 - 19/6)</v>
      </c>
      <c r="D25" s="3" t="s">
        <v>23</v>
      </c>
      <c r="E25" s="3" t="s">
        <v>21</v>
      </c>
      <c r="F25" s="3">
        <v>0</v>
      </c>
      <c r="G25" s="5">
        <v>0</v>
      </c>
    </row>
    <row r="26" spans="1:7" x14ac:dyDescent="0.25">
      <c r="A26" s="4">
        <v>46192</v>
      </c>
      <c r="B26" s="2">
        <f t="shared" si="0"/>
        <v>46192</v>
      </c>
      <c r="C26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W10 (13/6 - 19/6)</v>
      </c>
      <c r="D26" s="3" t="s">
        <v>23</v>
      </c>
      <c r="E26" s="3" t="s">
        <v>21</v>
      </c>
      <c r="F26" s="3">
        <v>0</v>
      </c>
      <c r="G26" s="5">
        <v>0</v>
      </c>
    </row>
    <row r="27" spans="1:7" x14ac:dyDescent="0.25">
      <c r="A27" s="4">
        <v>46193</v>
      </c>
      <c r="B27" s="2">
        <f t="shared" si="0"/>
        <v>46193</v>
      </c>
      <c r="C27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W11 (20/6 - 26/6)</v>
      </c>
      <c r="D27" s="3" t="s">
        <v>23</v>
      </c>
      <c r="E27" s="3" t="s">
        <v>21</v>
      </c>
      <c r="F27" s="3">
        <v>0</v>
      </c>
      <c r="G27" s="5">
        <v>0</v>
      </c>
    </row>
    <row r="28" spans="1:7" x14ac:dyDescent="0.25">
      <c r="A28" s="4">
        <v>46194</v>
      </c>
      <c r="B28" s="2">
        <f t="shared" si="0"/>
        <v>46194</v>
      </c>
      <c r="C28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W11 (20/6 - 26/6)</v>
      </c>
      <c r="D28" s="3" t="s">
        <v>23</v>
      </c>
      <c r="E28" s="3" t="s">
        <v>21</v>
      </c>
      <c r="F28" s="3">
        <v>0</v>
      </c>
      <c r="G28" s="5">
        <v>0</v>
      </c>
    </row>
    <row r="29" spans="1:7" x14ac:dyDescent="0.25">
      <c r="A29" s="4">
        <v>46195</v>
      </c>
      <c r="B29" s="2">
        <f t="shared" si="0"/>
        <v>46195</v>
      </c>
      <c r="C29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W11 (20/6 - 26/6)</v>
      </c>
      <c r="D29" s="3" t="s">
        <v>23</v>
      </c>
      <c r="E29" s="3" t="s">
        <v>21</v>
      </c>
      <c r="F29" s="3">
        <v>0</v>
      </c>
      <c r="G29" s="5">
        <v>0</v>
      </c>
    </row>
    <row r="30" spans="1:7" x14ac:dyDescent="0.25">
      <c r="A30" s="4">
        <v>46196</v>
      </c>
      <c r="B30" s="2">
        <f t="shared" si="0"/>
        <v>46196</v>
      </c>
      <c r="C30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W11 (20/6 - 26/6)</v>
      </c>
      <c r="D30" s="3" t="s">
        <v>23</v>
      </c>
      <c r="E30" s="3" t="s">
        <v>21</v>
      </c>
      <c r="F30" s="3">
        <v>0</v>
      </c>
      <c r="G30" s="5">
        <v>0</v>
      </c>
    </row>
    <row r="31" spans="1:7" x14ac:dyDescent="0.25">
      <c r="A31" s="4">
        <v>46197</v>
      </c>
      <c r="B31" s="2">
        <f t="shared" si="0"/>
        <v>46197</v>
      </c>
      <c r="C31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W11 (20/6 - 26/6)</v>
      </c>
      <c r="D31" s="3" t="s">
        <v>23</v>
      </c>
      <c r="E31" s="3" t="s">
        <v>21</v>
      </c>
      <c r="F31" s="3">
        <v>0</v>
      </c>
      <c r="G31" s="5">
        <v>0</v>
      </c>
    </row>
    <row r="32" spans="1:7" x14ac:dyDescent="0.25">
      <c r="A32" s="4">
        <v>46198</v>
      </c>
      <c r="B32" s="2">
        <f t="shared" si="0"/>
        <v>46198</v>
      </c>
      <c r="C32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W11 (20/6 - 26/6)</v>
      </c>
      <c r="D32" s="3" t="s">
        <v>23</v>
      </c>
      <c r="E32" s="3" t="s">
        <v>21</v>
      </c>
      <c r="F32" s="3">
        <v>0</v>
      </c>
      <c r="G32" s="5">
        <v>0</v>
      </c>
    </row>
    <row r="33" spans="1:7" x14ac:dyDescent="0.25">
      <c r="A33" s="4">
        <v>46199</v>
      </c>
      <c r="B33" s="2">
        <f t="shared" si="0"/>
        <v>46199</v>
      </c>
      <c r="C33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W11 (20/6 - 26/6)</v>
      </c>
      <c r="D33" s="3" t="s">
        <v>23</v>
      </c>
      <c r="E33" s="3" t="s">
        <v>21</v>
      </c>
      <c r="F33" s="3">
        <v>0</v>
      </c>
      <c r="G33" s="5">
        <v>0</v>
      </c>
    </row>
    <row r="34" spans="1:7" x14ac:dyDescent="0.25">
      <c r="A34" s="4">
        <v>46200</v>
      </c>
      <c r="B34" s="2">
        <f t="shared" si="0"/>
        <v>46200</v>
      </c>
      <c r="C34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W12 (27/6 - 3/7)</v>
      </c>
      <c r="D34" s="3" t="s">
        <v>23</v>
      </c>
      <c r="E34" s="3" t="s">
        <v>21</v>
      </c>
      <c r="F34" s="3">
        <v>0</v>
      </c>
      <c r="G34" s="5">
        <v>0</v>
      </c>
    </row>
    <row r="35" spans="1:7" x14ac:dyDescent="0.25">
      <c r="A35" s="4">
        <v>46201</v>
      </c>
      <c r="B35" s="2">
        <f t="shared" si="0"/>
        <v>46201</v>
      </c>
      <c r="C35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W12 (27/6 - 3/7)</v>
      </c>
      <c r="D35" s="3" t="s">
        <v>23</v>
      </c>
      <c r="E35" s="3" t="s">
        <v>21</v>
      </c>
      <c r="F35" s="3">
        <v>0</v>
      </c>
      <c r="G35" s="5">
        <v>0</v>
      </c>
    </row>
    <row r="36" spans="1:7" x14ac:dyDescent="0.25">
      <c r="A36" s="4">
        <v>46202</v>
      </c>
      <c r="B36" s="2">
        <f t="shared" si="0"/>
        <v>46202</v>
      </c>
      <c r="C36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W12 (27/6 - 3/7)</v>
      </c>
      <c r="D36" s="3" t="s">
        <v>23</v>
      </c>
      <c r="E36" s="3" t="s">
        <v>21</v>
      </c>
      <c r="F36" s="3">
        <v>0</v>
      </c>
      <c r="G36" s="5">
        <v>0</v>
      </c>
    </row>
    <row r="37" spans="1:7" x14ac:dyDescent="0.25">
      <c r="A37" s="4">
        <v>46203</v>
      </c>
      <c r="B37" s="2">
        <f t="shared" si="0"/>
        <v>46203</v>
      </c>
      <c r="C37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W12 (27/6 - 3/7)</v>
      </c>
      <c r="D37" s="3" t="s">
        <v>23</v>
      </c>
      <c r="E37" s="3" t="s">
        <v>21</v>
      </c>
      <c r="F37" s="3">
        <v>0</v>
      </c>
      <c r="G37" s="5">
        <v>0</v>
      </c>
    </row>
    <row r="38" spans="1:7" x14ac:dyDescent="0.25">
      <c r="A38" s="4">
        <v>46204</v>
      </c>
      <c r="B38" s="2">
        <f t="shared" ref="B38:B69" si="1">A38</f>
        <v>46204</v>
      </c>
      <c r="C38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W12 (27/6 - 3/7)</v>
      </c>
      <c r="D38" s="3" t="s">
        <v>23</v>
      </c>
      <c r="E38" s="3" t="s">
        <v>21</v>
      </c>
      <c r="F38" s="3">
        <v>0</v>
      </c>
      <c r="G38" s="5">
        <v>0</v>
      </c>
    </row>
    <row r="39" spans="1:7" x14ac:dyDescent="0.25">
      <c r="A39" s="4">
        <v>46205</v>
      </c>
      <c r="B39" s="2">
        <f t="shared" si="1"/>
        <v>46205</v>
      </c>
      <c r="C39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W12 (27/6 - 3/7)</v>
      </c>
      <c r="D39" s="3" t="s">
        <v>23</v>
      </c>
      <c r="E39" s="3" t="s">
        <v>21</v>
      </c>
      <c r="F39" s="3">
        <v>0</v>
      </c>
      <c r="G39" s="5">
        <v>0</v>
      </c>
    </row>
    <row r="40" spans="1:7" x14ac:dyDescent="0.25">
      <c r="A40" s="4">
        <v>46206</v>
      </c>
      <c r="B40" s="2">
        <f t="shared" si="1"/>
        <v>46206</v>
      </c>
      <c r="C40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W12 (27/6 - 3/7)</v>
      </c>
      <c r="D40" s="3" t="s">
        <v>23</v>
      </c>
      <c r="E40" s="3" t="s">
        <v>21</v>
      </c>
      <c r="F40" s="3">
        <v>2</v>
      </c>
      <c r="G40" s="5">
        <v>16</v>
      </c>
    </row>
    <row r="41" spans="1:7" x14ac:dyDescent="0.25">
      <c r="A41" s="4">
        <v>46207</v>
      </c>
      <c r="B41" s="2">
        <f t="shared" si="1"/>
        <v>46207</v>
      </c>
      <c r="C41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W13 (4/7 - 10/7)</v>
      </c>
      <c r="D41" s="3" t="s">
        <v>23</v>
      </c>
      <c r="E41" s="3" t="s">
        <v>21</v>
      </c>
      <c r="F41" s="3">
        <v>2</v>
      </c>
      <c r="G41" s="5">
        <v>16</v>
      </c>
    </row>
    <row r="42" spans="1:7" x14ac:dyDescent="0.25">
      <c r="A42" s="4">
        <v>46208</v>
      </c>
      <c r="B42" s="2">
        <f t="shared" si="1"/>
        <v>46208</v>
      </c>
      <c r="C42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W13 (4/7 - 10/7)</v>
      </c>
      <c r="D42" s="3" t="s">
        <v>23</v>
      </c>
      <c r="E42" s="3" t="s">
        <v>21</v>
      </c>
      <c r="F42" s="3">
        <v>0</v>
      </c>
      <c r="G42" s="5">
        <v>0</v>
      </c>
    </row>
    <row r="43" spans="1:7" x14ac:dyDescent="0.25">
      <c r="A43" s="4">
        <v>46209</v>
      </c>
      <c r="B43" s="2">
        <f t="shared" si="1"/>
        <v>46209</v>
      </c>
      <c r="C43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W13 (4/7 - 10/7)</v>
      </c>
      <c r="D43" s="3" t="s">
        <v>23</v>
      </c>
      <c r="E43" s="3" t="s">
        <v>21</v>
      </c>
      <c r="F43" s="3">
        <v>3</v>
      </c>
      <c r="G43" s="5">
        <v>24</v>
      </c>
    </row>
    <row r="44" spans="1:7" x14ac:dyDescent="0.25">
      <c r="A44" s="4">
        <v>46210</v>
      </c>
      <c r="B44" s="2">
        <f t="shared" si="1"/>
        <v>46210</v>
      </c>
      <c r="C44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W13 (4/7 - 10/7)</v>
      </c>
      <c r="D44" s="3" t="s">
        <v>23</v>
      </c>
      <c r="E44" s="3" t="s">
        <v>21</v>
      </c>
      <c r="F44" s="3">
        <v>3</v>
      </c>
      <c r="G44" s="5">
        <v>24</v>
      </c>
    </row>
    <row r="45" spans="1:7" x14ac:dyDescent="0.25">
      <c r="A45" s="4">
        <v>46211</v>
      </c>
      <c r="B45" s="2">
        <f t="shared" si="1"/>
        <v>46211</v>
      </c>
      <c r="C45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W13 (4/7 - 10/7)</v>
      </c>
      <c r="D45" s="3" t="s">
        <v>23</v>
      </c>
      <c r="E45" s="3" t="s">
        <v>21</v>
      </c>
      <c r="F45" s="3">
        <v>4</v>
      </c>
      <c r="G45" s="5">
        <v>32</v>
      </c>
    </row>
    <row r="46" spans="1:7" x14ac:dyDescent="0.25">
      <c r="A46" s="4">
        <v>46212</v>
      </c>
      <c r="B46" s="2">
        <f t="shared" si="1"/>
        <v>46212</v>
      </c>
      <c r="C46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W13 (4/7 - 10/7)</v>
      </c>
      <c r="D46" s="3" t="s">
        <v>23</v>
      </c>
      <c r="E46" s="3" t="s">
        <v>21</v>
      </c>
      <c r="F46" s="3">
        <v>4</v>
      </c>
      <c r="G46" s="5">
        <v>32</v>
      </c>
    </row>
    <row r="47" spans="1:7" x14ac:dyDescent="0.25">
      <c r="A47" s="4">
        <v>46213</v>
      </c>
      <c r="B47" s="2">
        <f t="shared" si="1"/>
        <v>46213</v>
      </c>
      <c r="C47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W13 (4/7 - 10/7)</v>
      </c>
      <c r="D47" s="3" t="s">
        <v>23</v>
      </c>
      <c r="E47" s="3" t="s">
        <v>21</v>
      </c>
      <c r="F47" s="3">
        <v>4</v>
      </c>
      <c r="G47" s="5">
        <v>32</v>
      </c>
    </row>
    <row r="48" spans="1:7" x14ac:dyDescent="0.25">
      <c r="A48" s="4">
        <v>46214</v>
      </c>
      <c r="B48" s="2">
        <f t="shared" si="1"/>
        <v>46214</v>
      </c>
      <c r="C48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W14 (11/7 - 17/7)</v>
      </c>
      <c r="D48" s="3" t="s">
        <v>23</v>
      </c>
      <c r="E48" s="3" t="s">
        <v>21</v>
      </c>
      <c r="F48" s="3">
        <v>3</v>
      </c>
      <c r="G48" s="5">
        <v>24</v>
      </c>
    </row>
    <row r="49" spans="1:7" x14ac:dyDescent="0.25">
      <c r="A49" s="4">
        <v>46215</v>
      </c>
      <c r="B49" s="2">
        <f t="shared" si="1"/>
        <v>46215</v>
      </c>
      <c r="C49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W14 (11/7 - 17/7)</v>
      </c>
      <c r="D49" s="3" t="s">
        <v>23</v>
      </c>
      <c r="E49" s="3" t="s">
        <v>21</v>
      </c>
      <c r="F49" s="3">
        <v>0</v>
      </c>
      <c r="G49" s="5">
        <v>0</v>
      </c>
    </row>
    <row r="50" spans="1:7" x14ac:dyDescent="0.25">
      <c r="A50" s="4">
        <v>46216</v>
      </c>
      <c r="B50" s="2">
        <f t="shared" si="1"/>
        <v>46216</v>
      </c>
      <c r="C50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W14 (11/7 - 17/7)</v>
      </c>
      <c r="D50" s="3" t="s">
        <v>23</v>
      </c>
      <c r="E50" s="3" t="s">
        <v>21</v>
      </c>
      <c r="F50" s="3">
        <v>2</v>
      </c>
      <c r="G50" s="5">
        <v>16</v>
      </c>
    </row>
    <row r="51" spans="1:7" x14ac:dyDescent="0.25">
      <c r="A51" s="4">
        <v>46217</v>
      </c>
      <c r="B51" s="2">
        <f t="shared" si="1"/>
        <v>46217</v>
      </c>
      <c r="C51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W14 (11/7 - 17/7)</v>
      </c>
      <c r="D51" s="3" t="s">
        <v>23</v>
      </c>
      <c r="E51" s="3" t="s">
        <v>21</v>
      </c>
      <c r="F51" s="3">
        <v>3</v>
      </c>
      <c r="G51" s="5">
        <v>24</v>
      </c>
    </row>
    <row r="52" spans="1:7" x14ac:dyDescent="0.25">
      <c r="A52" s="4">
        <v>46218</v>
      </c>
      <c r="B52" s="2">
        <f t="shared" si="1"/>
        <v>46218</v>
      </c>
      <c r="C52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W14 (11/7 - 17/7)</v>
      </c>
      <c r="D52" s="3" t="s">
        <v>23</v>
      </c>
      <c r="E52" s="3" t="s">
        <v>21</v>
      </c>
      <c r="F52" s="3">
        <v>3</v>
      </c>
      <c r="G52" s="5">
        <v>24</v>
      </c>
    </row>
    <row r="53" spans="1:7" x14ac:dyDescent="0.25">
      <c r="A53" s="4">
        <v>46219</v>
      </c>
      <c r="B53" s="2">
        <f t="shared" si="1"/>
        <v>46219</v>
      </c>
      <c r="C53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W14 (11/7 - 17/7)</v>
      </c>
      <c r="D53" s="3" t="s">
        <v>23</v>
      </c>
      <c r="E53" s="3" t="s">
        <v>21</v>
      </c>
      <c r="F53" s="3">
        <v>3</v>
      </c>
      <c r="G53" s="5">
        <v>24</v>
      </c>
    </row>
    <row r="54" spans="1:7" x14ac:dyDescent="0.25">
      <c r="A54" s="4">
        <v>46220</v>
      </c>
      <c r="B54" s="2">
        <f t="shared" si="1"/>
        <v>46220</v>
      </c>
      <c r="C54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W14 (11/7 - 17/7)</v>
      </c>
      <c r="D54" s="3" t="s">
        <v>23</v>
      </c>
      <c r="E54" s="3" t="s">
        <v>21</v>
      </c>
      <c r="F54" s="3">
        <v>3</v>
      </c>
      <c r="G54" s="5">
        <v>24</v>
      </c>
    </row>
    <row r="55" spans="1:7" x14ac:dyDescent="0.25">
      <c r="A55" s="4">
        <v>46221</v>
      </c>
      <c r="B55" s="2">
        <f t="shared" si="1"/>
        <v>46221</v>
      </c>
      <c r="C55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W15 (18/7 - 24/7)</v>
      </c>
      <c r="D55" s="3" t="s">
        <v>23</v>
      </c>
      <c r="E55" s="3" t="s">
        <v>21</v>
      </c>
      <c r="F55" s="3">
        <v>0</v>
      </c>
      <c r="G55" s="5">
        <v>0</v>
      </c>
    </row>
    <row r="56" spans="1:7" x14ac:dyDescent="0.25">
      <c r="A56" s="4">
        <v>46222</v>
      </c>
      <c r="B56" s="2">
        <f t="shared" si="1"/>
        <v>46222</v>
      </c>
      <c r="C56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W15 (18/7 - 24/7)</v>
      </c>
      <c r="D56" s="3" t="s">
        <v>23</v>
      </c>
      <c r="E56" s="3" t="s">
        <v>21</v>
      </c>
      <c r="F56" s="3">
        <v>0</v>
      </c>
      <c r="G56" s="5">
        <v>0</v>
      </c>
    </row>
    <row r="57" spans="1:7" x14ac:dyDescent="0.25">
      <c r="A57" s="4">
        <v>46223</v>
      </c>
      <c r="B57" s="2">
        <f t="shared" si="1"/>
        <v>46223</v>
      </c>
      <c r="C57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W15 (18/7 - 24/7)</v>
      </c>
      <c r="D57" s="3" t="s">
        <v>23</v>
      </c>
      <c r="E57" s="3" t="s">
        <v>21</v>
      </c>
      <c r="F57" s="3">
        <v>3</v>
      </c>
      <c r="G57" s="5">
        <v>24</v>
      </c>
    </row>
    <row r="58" spans="1:7" x14ac:dyDescent="0.25">
      <c r="A58" s="4">
        <v>46224</v>
      </c>
      <c r="B58" s="2">
        <f t="shared" si="1"/>
        <v>46224</v>
      </c>
      <c r="C58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W15 (18/7 - 24/7)</v>
      </c>
      <c r="D58" s="3" t="s">
        <v>23</v>
      </c>
      <c r="E58" s="3" t="s">
        <v>21</v>
      </c>
      <c r="F58" s="3">
        <v>3</v>
      </c>
      <c r="G58" s="5">
        <v>24</v>
      </c>
    </row>
    <row r="59" spans="1:7" x14ac:dyDescent="0.25">
      <c r="A59" s="4">
        <v>46225</v>
      </c>
      <c r="B59" s="2">
        <f t="shared" si="1"/>
        <v>46225</v>
      </c>
      <c r="C59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W15 (18/7 - 24/7)</v>
      </c>
      <c r="D59" s="3" t="s">
        <v>23</v>
      </c>
      <c r="E59" s="3" t="s">
        <v>21</v>
      </c>
      <c r="F59" s="3">
        <v>3</v>
      </c>
      <c r="G59" s="5">
        <v>24</v>
      </c>
    </row>
    <row r="60" spans="1:7" x14ac:dyDescent="0.25">
      <c r="A60" s="4">
        <v>46226</v>
      </c>
      <c r="B60" s="2">
        <f t="shared" si="1"/>
        <v>46226</v>
      </c>
      <c r="C60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W15 (18/7 - 24/7)</v>
      </c>
      <c r="D60" s="3" t="s">
        <v>23</v>
      </c>
      <c r="E60" s="3" t="s">
        <v>21</v>
      </c>
      <c r="F60" s="3">
        <v>3</v>
      </c>
      <c r="G60" s="5">
        <v>24</v>
      </c>
    </row>
    <row r="61" spans="1:7" x14ac:dyDescent="0.25">
      <c r="A61" s="4">
        <v>46227</v>
      </c>
      <c r="B61" s="2">
        <f t="shared" si="1"/>
        <v>46227</v>
      </c>
      <c r="C61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W15 (18/7 - 24/7)</v>
      </c>
      <c r="D61" s="3" t="s">
        <v>23</v>
      </c>
      <c r="E61" s="3" t="s">
        <v>21</v>
      </c>
      <c r="F61" s="3">
        <v>3</v>
      </c>
      <c r="G61" s="5">
        <v>24</v>
      </c>
    </row>
    <row r="62" spans="1:7" x14ac:dyDescent="0.25">
      <c r="A62" s="4">
        <v>46228</v>
      </c>
      <c r="B62" s="2">
        <f t="shared" si="1"/>
        <v>46228</v>
      </c>
      <c r="C62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W16 (25/7 - 31/7)</v>
      </c>
      <c r="D62" s="3" t="s">
        <v>23</v>
      </c>
      <c r="E62" s="3" t="s">
        <v>21</v>
      </c>
      <c r="F62" s="3">
        <v>3</v>
      </c>
      <c r="G62" s="5">
        <v>24</v>
      </c>
    </row>
    <row r="63" spans="1:7" x14ac:dyDescent="0.25">
      <c r="A63" s="4">
        <v>46229</v>
      </c>
      <c r="B63" s="2">
        <f t="shared" si="1"/>
        <v>46229</v>
      </c>
      <c r="C63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W16 (25/7 - 31/7)</v>
      </c>
      <c r="D63" s="3" t="s">
        <v>23</v>
      </c>
      <c r="E63" s="3" t="s">
        <v>21</v>
      </c>
      <c r="F63" s="3">
        <v>2</v>
      </c>
      <c r="G63" s="5">
        <v>16</v>
      </c>
    </row>
    <row r="64" spans="1:7" x14ac:dyDescent="0.25">
      <c r="A64" s="4">
        <v>46230</v>
      </c>
      <c r="B64" s="2">
        <f t="shared" si="1"/>
        <v>46230</v>
      </c>
      <c r="C64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W16 (25/7 - 31/7)</v>
      </c>
      <c r="D64" s="3" t="s">
        <v>23</v>
      </c>
      <c r="E64" s="3" t="s">
        <v>21</v>
      </c>
      <c r="F64" s="3">
        <v>3</v>
      </c>
      <c r="G64" s="5">
        <v>24</v>
      </c>
    </row>
    <row r="65" spans="1:7" x14ac:dyDescent="0.25">
      <c r="A65" s="4">
        <v>46231</v>
      </c>
      <c r="B65" s="2">
        <f t="shared" si="1"/>
        <v>46231</v>
      </c>
      <c r="C65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W16 (25/7 - 31/7)</v>
      </c>
      <c r="D65" s="3" t="s">
        <v>23</v>
      </c>
      <c r="E65" s="3" t="s">
        <v>21</v>
      </c>
      <c r="F65" s="3">
        <v>3</v>
      </c>
      <c r="G65" s="5">
        <v>24</v>
      </c>
    </row>
    <row r="66" spans="1:7" x14ac:dyDescent="0.25">
      <c r="A66" s="4">
        <v>46232</v>
      </c>
      <c r="B66" s="2">
        <f t="shared" si="1"/>
        <v>46232</v>
      </c>
      <c r="C66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W16 (25/7 - 31/7)</v>
      </c>
      <c r="D66" s="3" t="s">
        <v>23</v>
      </c>
      <c r="E66" s="3" t="s">
        <v>21</v>
      </c>
      <c r="F66" s="3">
        <v>3</v>
      </c>
      <c r="G66" s="5">
        <v>24</v>
      </c>
    </row>
    <row r="67" spans="1:7" x14ac:dyDescent="0.25">
      <c r="A67" s="4">
        <v>46233</v>
      </c>
      <c r="B67" s="2">
        <f t="shared" si="1"/>
        <v>46233</v>
      </c>
      <c r="C67" s="3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W16 (25/7 - 31/7)</v>
      </c>
      <c r="D67" s="3" t="s">
        <v>23</v>
      </c>
      <c r="E67" s="3" t="s">
        <v>21</v>
      </c>
      <c r="F67" s="3">
        <v>0</v>
      </c>
      <c r="G67" s="5">
        <v>0</v>
      </c>
    </row>
    <row r="68" spans="1:7" x14ac:dyDescent="0.25">
      <c r="A68" s="9">
        <v>46234</v>
      </c>
      <c r="B68" s="10">
        <f t="shared" si="1"/>
        <v>46234</v>
      </c>
      <c r="C68" s="11" t="str">
        <f>IF(STARWORK[[#This Row],[DATE]]&lt;DATE(2026,4,11),"0",_xlfn.LET(
_xlpm.W,INT((STARWORK[[#This Row],[DATE]]-DATE(2026,4,11))/7)+1,
_xlpm.S,DATE(2026,4,11)+(_xlpm.W-1)*7,
_xlpm.E,_xlpm.S+6,
"W"&amp;TEXT(_xlpm.W,"00")&amp;" ("&amp;TEXT(_xlpm.S,"d/m")&amp;" - "&amp;TEXT(_xlpm.E,"d/m")&amp;")"
))</f>
        <v>W16 (25/7 - 31/7)</v>
      </c>
      <c r="D68" s="3" t="s">
        <v>23</v>
      </c>
      <c r="E68" s="3" t="s">
        <v>21</v>
      </c>
      <c r="F68" s="11">
        <v>0</v>
      </c>
      <c r="G68" s="12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5:G7"/>
  <sheetViews>
    <sheetView zoomScaleNormal="100" workbookViewId="0">
      <selection activeCell="C6" sqref="C6"/>
    </sheetView>
  </sheetViews>
  <sheetFormatPr defaultColWidth="8.85546875" defaultRowHeight="12.75" x14ac:dyDescent="0.25"/>
  <cols>
    <col min="1" max="1" width="18.7109375" style="1" customWidth="1"/>
    <col min="2" max="2" width="13.7109375" style="1" customWidth="1"/>
    <col min="3" max="3" width="17.85546875" style="1" bestFit="1" customWidth="1"/>
    <col min="4" max="7" width="21.85546875" style="1" customWidth="1"/>
    <col min="8" max="8" width="8.85546875" style="1" customWidth="1"/>
    <col min="9" max="16384" width="8.85546875" style="1"/>
  </cols>
  <sheetData>
    <row r="5" spans="1:7" x14ac:dyDescent="0.25">
      <c r="A5" s="6" t="s">
        <v>0</v>
      </c>
      <c r="B5" s="7" t="s">
        <v>1</v>
      </c>
      <c r="C5" s="7" t="s">
        <v>2</v>
      </c>
      <c r="D5" s="7" t="s">
        <v>12</v>
      </c>
      <c r="E5" s="7" t="s">
        <v>13</v>
      </c>
      <c r="F5" s="7" t="s">
        <v>14</v>
      </c>
      <c r="G5" s="8" t="s">
        <v>15</v>
      </c>
    </row>
    <row r="6" spans="1:7" x14ac:dyDescent="0.25">
      <c r="A6" s="4">
        <v>46178</v>
      </c>
      <c r="B6" s="2">
        <f>A6</f>
        <v>46178</v>
      </c>
      <c r="C6" s="3" t="str">
        <f>IF(MILLENIUM[[#This Row],[DATE]]&lt;DATE(2026,4,11),"0",_xlfn.LET(
_xlpm.W,INT((MILLENIUM[[#This Row],[DATE]]-DATE(2026,4,11))/7)+1,
_xlpm.S,DATE(2026,4,11)+(_xlpm.W-1)*7,
_xlpm.E,_xlpm.S+6,
"W"&amp;TEXT(_xlpm.W,"00")&amp;" ("&amp;TEXT(_xlpm.S,"d/m")&amp;" - "&amp;TEXT(_xlpm.E,"d/m")&amp;")"
))</f>
        <v>W08 (30/5 - 5/6)</v>
      </c>
      <c r="D6" s="3" t="s">
        <v>24</v>
      </c>
      <c r="E6" s="3" t="s">
        <v>21</v>
      </c>
      <c r="F6" s="3">
        <v>3</v>
      </c>
      <c r="G6" s="5">
        <v>24</v>
      </c>
    </row>
    <row r="7" spans="1:7" x14ac:dyDescent="0.25">
      <c r="A7" s="4">
        <v>46179</v>
      </c>
      <c r="B7" s="2">
        <f>A7</f>
        <v>46179</v>
      </c>
      <c r="C7" s="3" t="str">
        <f>IF(MILLENIUM[[#This Row],[DATE]]&lt;DATE(2026,4,11),"0",_xlfn.LET(
_xlpm.W,INT((MILLENIUM[[#This Row],[DATE]]-DATE(2026,4,11))/7)+1,
_xlpm.S,DATE(2026,4,11)+(_xlpm.W-1)*7,
_xlpm.E,_xlpm.S+6,
"W"&amp;TEXT(_xlpm.W,"00")&amp;" ("&amp;TEXT(_xlpm.S,"d/m")&amp;" - "&amp;TEXT(_xlpm.E,"d/m")&amp;")"
))</f>
        <v>W09 (6/6 - 12/6)</v>
      </c>
      <c r="D7" s="3" t="s">
        <v>24</v>
      </c>
      <c r="E7" s="3" t="s">
        <v>21</v>
      </c>
      <c r="F7" s="3">
        <v>3</v>
      </c>
      <c r="G7" s="5">
        <v>24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5:G55"/>
  <sheetViews>
    <sheetView topLeftCell="A19" zoomScaleNormal="100" workbookViewId="0">
      <selection activeCell="J55" sqref="J55"/>
    </sheetView>
  </sheetViews>
  <sheetFormatPr defaultColWidth="8.85546875" defaultRowHeight="12.75" x14ac:dyDescent="0.25"/>
  <cols>
    <col min="1" max="1" width="18.7109375" style="1" customWidth="1"/>
    <col min="2" max="2" width="13.7109375" style="1" customWidth="1"/>
    <col min="3" max="3" width="17.85546875" style="1" bestFit="1" customWidth="1"/>
    <col min="4" max="7" width="21.85546875" style="1" customWidth="1"/>
    <col min="8" max="8" width="8.85546875" style="1" customWidth="1"/>
    <col min="9" max="16384" width="8.85546875" style="1"/>
  </cols>
  <sheetData>
    <row r="5" spans="1:7" x14ac:dyDescent="0.25">
      <c r="A5" s="6" t="s">
        <v>0</v>
      </c>
      <c r="B5" s="7" t="s">
        <v>1</v>
      </c>
      <c r="C5" s="7" t="s">
        <v>2</v>
      </c>
      <c r="D5" s="7" t="s">
        <v>12</v>
      </c>
      <c r="E5" s="7" t="s">
        <v>13</v>
      </c>
      <c r="F5" s="7" t="s">
        <v>14</v>
      </c>
      <c r="G5" s="8" t="s">
        <v>15</v>
      </c>
    </row>
    <row r="6" spans="1:7" x14ac:dyDescent="0.25">
      <c r="A6" s="4">
        <v>46185</v>
      </c>
      <c r="B6" s="2">
        <f t="shared" ref="B6:B37" si="0">A6</f>
        <v>46185</v>
      </c>
      <c r="C6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W09 (6/6 - 12/6)</v>
      </c>
      <c r="D6" s="3" t="s">
        <v>25</v>
      </c>
      <c r="E6" s="3" t="s">
        <v>21</v>
      </c>
      <c r="F6" s="3">
        <v>10</v>
      </c>
      <c r="G6" s="5">
        <v>80</v>
      </c>
    </row>
    <row r="7" spans="1:7" x14ac:dyDescent="0.25">
      <c r="A7" s="4">
        <v>46186</v>
      </c>
      <c r="B7" s="2">
        <f t="shared" si="0"/>
        <v>46186</v>
      </c>
      <c r="C7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W10 (13/6 - 19/6)</v>
      </c>
      <c r="D7" s="3" t="s">
        <v>25</v>
      </c>
      <c r="E7" s="3" t="s">
        <v>21</v>
      </c>
      <c r="F7" s="3">
        <v>5</v>
      </c>
      <c r="G7" s="5">
        <v>40</v>
      </c>
    </row>
    <row r="8" spans="1:7" x14ac:dyDescent="0.25">
      <c r="A8" s="4">
        <v>46187</v>
      </c>
      <c r="B8" s="2">
        <f t="shared" si="0"/>
        <v>46187</v>
      </c>
      <c r="C8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W10 (13/6 - 19/6)</v>
      </c>
      <c r="D8" s="3" t="s">
        <v>25</v>
      </c>
      <c r="E8" s="3" t="s">
        <v>21</v>
      </c>
      <c r="F8" s="3">
        <v>0</v>
      </c>
      <c r="G8" s="5">
        <v>0</v>
      </c>
    </row>
    <row r="9" spans="1:7" x14ac:dyDescent="0.25">
      <c r="A9" s="4">
        <v>46188</v>
      </c>
      <c r="B9" s="2">
        <f t="shared" si="0"/>
        <v>46188</v>
      </c>
      <c r="C9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W10 (13/6 - 19/6)</v>
      </c>
      <c r="D9" s="3" t="s">
        <v>25</v>
      </c>
      <c r="E9" s="3" t="s">
        <v>21</v>
      </c>
      <c r="F9" s="3">
        <v>5</v>
      </c>
      <c r="G9" s="5">
        <v>40</v>
      </c>
    </row>
    <row r="10" spans="1:7" x14ac:dyDescent="0.25">
      <c r="A10" s="4">
        <v>46189</v>
      </c>
      <c r="B10" s="2">
        <f t="shared" si="0"/>
        <v>46189</v>
      </c>
      <c r="C10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W10 (13/6 - 19/6)</v>
      </c>
      <c r="D10" s="3" t="s">
        <v>25</v>
      </c>
      <c r="E10" s="3" t="s">
        <v>21</v>
      </c>
      <c r="F10" s="3">
        <v>5</v>
      </c>
      <c r="G10" s="5">
        <v>40</v>
      </c>
    </row>
    <row r="11" spans="1:7" x14ac:dyDescent="0.25">
      <c r="A11" s="4">
        <v>46190</v>
      </c>
      <c r="B11" s="2">
        <f t="shared" si="0"/>
        <v>46190</v>
      </c>
      <c r="C11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W10 (13/6 - 19/6)</v>
      </c>
      <c r="D11" s="3" t="s">
        <v>25</v>
      </c>
      <c r="E11" s="3" t="s">
        <v>21</v>
      </c>
      <c r="F11" s="3">
        <v>0</v>
      </c>
      <c r="G11" s="5">
        <v>0</v>
      </c>
    </row>
    <row r="12" spans="1:7" x14ac:dyDescent="0.25">
      <c r="A12" s="4">
        <v>46191</v>
      </c>
      <c r="B12" s="2">
        <f t="shared" si="0"/>
        <v>46191</v>
      </c>
      <c r="C12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W10 (13/6 - 19/6)</v>
      </c>
      <c r="D12" s="3" t="s">
        <v>25</v>
      </c>
      <c r="E12" s="3" t="s">
        <v>21</v>
      </c>
      <c r="F12" s="3">
        <v>5</v>
      </c>
      <c r="G12" s="5">
        <v>40</v>
      </c>
    </row>
    <row r="13" spans="1:7" x14ac:dyDescent="0.25">
      <c r="A13" s="4">
        <v>46192</v>
      </c>
      <c r="B13" s="2">
        <f t="shared" si="0"/>
        <v>46192</v>
      </c>
      <c r="C13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W10 (13/6 - 19/6)</v>
      </c>
      <c r="D13" s="3" t="s">
        <v>25</v>
      </c>
      <c r="E13" s="3" t="s">
        <v>21</v>
      </c>
      <c r="F13" s="3">
        <v>5</v>
      </c>
      <c r="G13" s="5">
        <v>40</v>
      </c>
    </row>
    <row r="14" spans="1:7" x14ac:dyDescent="0.25">
      <c r="A14" s="4">
        <v>46193</v>
      </c>
      <c r="B14" s="2">
        <f t="shared" si="0"/>
        <v>46193</v>
      </c>
      <c r="C14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W11 (20/6 - 26/6)</v>
      </c>
      <c r="D14" s="3" t="s">
        <v>25</v>
      </c>
      <c r="E14" s="3" t="s">
        <v>21</v>
      </c>
      <c r="F14" s="3">
        <v>8</v>
      </c>
      <c r="G14" s="5">
        <v>64</v>
      </c>
    </row>
    <row r="15" spans="1:7" x14ac:dyDescent="0.25">
      <c r="A15" s="4">
        <v>46194</v>
      </c>
      <c r="B15" s="2">
        <f t="shared" si="0"/>
        <v>46194</v>
      </c>
      <c r="C15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W11 (20/6 - 26/6)</v>
      </c>
      <c r="D15" s="3" t="s">
        <v>25</v>
      </c>
      <c r="E15" s="3" t="s">
        <v>21</v>
      </c>
      <c r="F15" s="3">
        <v>0</v>
      </c>
      <c r="G15" s="5">
        <v>0</v>
      </c>
    </row>
    <row r="16" spans="1:7" x14ac:dyDescent="0.25">
      <c r="A16" s="4">
        <v>46195</v>
      </c>
      <c r="B16" s="2">
        <f t="shared" si="0"/>
        <v>46195</v>
      </c>
      <c r="C16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W11 (20/6 - 26/6)</v>
      </c>
      <c r="D16" s="3" t="s">
        <v>25</v>
      </c>
      <c r="E16" s="3" t="s">
        <v>21</v>
      </c>
      <c r="F16" s="3">
        <v>5</v>
      </c>
      <c r="G16" s="5">
        <v>40</v>
      </c>
    </row>
    <row r="17" spans="1:7" x14ac:dyDescent="0.25">
      <c r="A17" s="4">
        <v>46196</v>
      </c>
      <c r="B17" s="2">
        <f t="shared" si="0"/>
        <v>46196</v>
      </c>
      <c r="C17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W11 (20/6 - 26/6)</v>
      </c>
      <c r="D17" s="3" t="s">
        <v>25</v>
      </c>
      <c r="E17" s="3" t="s">
        <v>21</v>
      </c>
      <c r="F17" s="3">
        <v>5</v>
      </c>
      <c r="G17" s="5">
        <v>40</v>
      </c>
    </row>
    <row r="18" spans="1:7" x14ac:dyDescent="0.25">
      <c r="A18" s="4">
        <v>46197</v>
      </c>
      <c r="B18" s="2">
        <f t="shared" si="0"/>
        <v>46197</v>
      </c>
      <c r="C18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W11 (20/6 - 26/6)</v>
      </c>
      <c r="D18" s="3" t="s">
        <v>25</v>
      </c>
      <c r="E18" s="3" t="s">
        <v>21</v>
      </c>
      <c r="F18" s="3">
        <v>6</v>
      </c>
      <c r="G18" s="5">
        <v>48</v>
      </c>
    </row>
    <row r="19" spans="1:7" x14ac:dyDescent="0.25">
      <c r="A19" s="4">
        <v>46198</v>
      </c>
      <c r="B19" s="2">
        <f t="shared" si="0"/>
        <v>46198</v>
      </c>
      <c r="C19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W11 (20/6 - 26/6)</v>
      </c>
      <c r="D19" s="3" t="s">
        <v>25</v>
      </c>
      <c r="E19" s="3" t="s">
        <v>21</v>
      </c>
      <c r="F19" s="3">
        <v>5</v>
      </c>
      <c r="G19" s="5">
        <v>40</v>
      </c>
    </row>
    <row r="20" spans="1:7" x14ac:dyDescent="0.25">
      <c r="A20" s="4">
        <v>46199</v>
      </c>
      <c r="B20" s="2">
        <f t="shared" si="0"/>
        <v>46199</v>
      </c>
      <c r="C20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W11 (20/6 - 26/6)</v>
      </c>
      <c r="D20" s="3" t="s">
        <v>25</v>
      </c>
      <c r="E20" s="3" t="s">
        <v>21</v>
      </c>
      <c r="F20" s="3">
        <v>7</v>
      </c>
      <c r="G20" s="5">
        <v>56</v>
      </c>
    </row>
    <row r="21" spans="1:7" x14ac:dyDescent="0.25">
      <c r="A21" s="4">
        <v>46200</v>
      </c>
      <c r="B21" s="2">
        <f t="shared" si="0"/>
        <v>46200</v>
      </c>
      <c r="C21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W12 (27/6 - 3/7)</v>
      </c>
      <c r="D21" s="3" t="s">
        <v>25</v>
      </c>
      <c r="E21" s="3" t="s">
        <v>21</v>
      </c>
      <c r="F21" s="3">
        <v>5</v>
      </c>
      <c r="G21" s="5">
        <v>40</v>
      </c>
    </row>
    <row r="22" spans="1:7" x14ac:dyDescent="0.25">
      <c r="A22" s="4">
        <v>46201</v>
      </c>
      <c r="B22" s="2">
        <f t="shared" si="0"/>
        <v>46201</v>
      </c>
      <c r="C22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W12 (27/6 - 3/7)</v>
      </c>
      <c r="D22" s="3" t="s">
        <v>25</v>
      </c>
      <c r="E22" s="3" t="s">
        <v>21</v>
      </c>
      <c r="F22" s="3">
        <v>0</v>
      </c>
      <c r="G22" s="5">
        <v>0</v>
      </c>
    </row>
    <row r="23" spans="1:7" x14ac:dyDescent="0.25">
      <c r="A23" s="4">
        <v>46202</v>
      </c>
      <c r="B23" s="2">
        <f t="shared" si="0"/>
        <v>46202</v>
      </c>
      <c r="C23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W12 (27/6 - 3/7)</v>
      </c>
      <c r="D23" s="3" t="s">
        <v>25</v>
      </c>
      <c r="E23" s="3" t="s">
        <v>21</v>
      </c>
      <c r="F23" s="3">
        <v>5</v>
      </c>
      <c r="G23" s="5">
        <v>40</v>
      </c>
    </row>
    <row r="24" spans="1:7" x14ac:dyDescent="0.25">
      <c r="A24" s="4">
        <v>46203</v>
      </c>
      <c r="B24" s="2">
        <f t="shared" si="0"/>
        <v>46203</v>
      </c>
      <c r="C24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W12 (27/6 - 3/7)</v>
      </c>
      <c r="D24" s="3" t="s">
        <v>25</v>
      </c>
      <c r="E24" s="3" t="s">
        <v>21</v>
      </c>
      <c r="F24" s="3">
        <v>5</v>
      </c>
      <c r="G24" s="5">
        <v>40</v>
      </c>
    </row>
    <row r="25" spans="1:7" x14ac:dyDescent="0.25">
      <c r="A25" s="4">
        <v>46204</v>
      </c>
      <c r="B25" s="2">
        <f t="shared" si="0"/>
        <v>46204</v>
      </c>
      <c r="C25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W12 (27/6 - 3/7)</v>
      </c>
      <c r="D25" s="3" t="s">
        <v>25</v>
      </c>
      <c r="E25" s="3" t="s">
        <v>21</v>
      </c>
      <c r="F25" s="3">
        <v>6</v>
      </c>
      <c r="G25" s="5">
        <v>48</v>
      </c>
    </row>
    <row r="26" spans="1:7" x14ac:dyDescent="0.25">
      <c r="A26" s="4">
        <v>46205</v>
      </c>
      <c r="B26" s="2">
        <f t="shared" si="0"/>
        <v>46205</v>
      </c>
      <c r="C26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W12 (27/6 - 3/7)</v>
      </c>
      <c r="D26" s="3" t="s">
        <v>25</v>
      </c>
      <c r="E26" s="3" t="s">
        <v>21</v>
      </c>
      <c r="F26" s="3">
        <v>6</v>
      </c>
      <c r="G26" s="5">
        <v>48</v>
      </c>
    </row>
    <row r="27" spans="1:7" x14ac:dyDescent="0.25">
      <c r="A27" s="4">
        <v>46206</v>
      </c>
      <c r="B27" s="2">
        <f t="shared" si="0"/>
        <v>46206</v>
      </c>
      <c r="C27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W12 (27/6 - 3/7)</v>
      </c>
      <c r="D27" s="3" t="s">
        <v>25</v>
      </c>
      <c r="E27" s="3" t="s">
        <v>21</v>
      </c>
      <c r="F27" s="3">
        <v>6</v>
      </c>
      <c r="G27" s="5">
        <v>48</v>
      </c>
    </row>
    <row r="28" spans="1:7" x14ac:dyDescent="0.25">
      <c r="A28" s="4">
        <v>46207</v>
      </c>
      <c r="B28" s="2">
        <f t="shared" si="0"/>
        <v>46207</v>
      </c>
      <c r="C28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W13 (4/7 - 10/7)</v>
      </c>
      <c r="D28" s="3" t="s">
        <v>25</v>
      </c>
      <c r="E28" s="3" t="s">
        <v>21</v>
      </c>
      <c r="F28" s="3">
        <v>6</v>
      </c>
      <c r="G28" s="5">
        <v>48</v>
      </c>
    </row>
    <row r="29" spans="1:7" x14ac:dyDescent="0.25">
      <c r="A29" s="4">
        <v>46208</v>
      </c>
      <c r="B29" s="2">
        <f t="shared" si="0"/>
        <v>46208</v>
      </c>
      <c r="C29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W13 (4/7 - 10/7)</v>
      </c>
      <c r="D29" s="3" t="s">
        <v>25</v>
      </c>
      <c r="E29" s="3" t="s">
        <v>21</v>
      </c>
      <c r="F29" s="3">
        <v>0</v>
      </c>
      <c r="G29" s="5">
        <v>0</v>
      </c>
    </row>
    <row r="30" spans="1:7" x14ac:dyDescent="0.25">
      <c r="A30" s="4">
        <v>46209</v>
      </c>
      <c r="B30" s="2">
        <f t="shared" si="0"/>
        <v>46209</v>
      </c>
      <c r="C30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W13 (4/7 - 10/7)</v>
      </c>
      <c r="D30" s="3" t="s">
        <v>25</v>
      </c>
      <c r="E30" s="3" t="s">
        <v>21</v>
      </c>
      <c r="F30" s="3">
        <v>6</v>
      </c>
      <c r="G30" s="5">
        <v>48</v>
      </c>
    </row>
    <row r="31" spans="1:7" x14ac:dyDescent="0.25">
      <c r="A31" s="4">
        <v>46210</v>
      </c>
      <c r="B31" s="2">
        <f t="shared" si="0"/>
        <v>46210</v>
      </c>
      <c r="C31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W13 (4/7 - 10/7)</v>
      </c>
      <c r="D31" s="3" t="s">
        <v>25</v>
      </c>
      <c r="E31" s="3" t="s">
        <v>21</v>
      </c>
      <c r="F31" s="3">
        <v>6</v>
      </c>
      <c r="G31" s="5">
        <v>48</v>
      </c>
    </row>
    <row r="32" spans="1:7" x14ac:dyDescent="0.25">
      <c r="A32" s="4">
        <v>46211</v>
      </c>
      <c r="B32" s="2">
        <f t="shared" si="0"/>
        <v>46211</v>
      </c>
      <c r="C32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W13 (4/7 - 10/7)</v>
      </c>
      <c r="D32" s="3" t="s">
        <v>25</v>
      </c>
      <c r="E32" s="3" t="s">
        <v>21</v>
      </c>
      <c r="F32" s="3">
        <v>4</v>
      </c>
      <c r="G32" s="5">
        <v>32</v>
      </c>
    </row>
    <row r="33" spans="1:7" x14ac:dyDescent="0.25">
      <c r="A33" s="4">
        <v>46212</v>
      </c>
      <c r="B33" s="2">
        <f t="shared" si="0"/>
        <v>46212</v>
      </c>
      <c r="C33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W13 (4/7 - 10/7)</v>
      </c>
      <c r="D33" s="3" t="s">
        <v>25</v>
      </c>
      <c r="E33" s="3" t="s">
        <v>21</v>
      </c>
      <c r="F33" s="3">
        <v>8</v>
      </c>
      <c r="G33" s="5">
        <v>64</v>
      </c>
    </row>
    <row r="34" spans="1:7" x14ac:dyDescent="0.25">
      <c r="A34" s="4">
        <v>46213</v>
      </c>
      <c r="B34" s="2">
        <f t="shared" si="0"/>
        <v>46213</v>
      </c>
      <c r="C34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W13 (4/7 - 10/7)</v>
      </c>
      <c r="D34" s="3" t="s">
        <v>25</v>
      </c>
      <c r="E34" s="3" t="s">
        <v>21</v>
      </c>
      <c r="F34" s="3">
        <v>0</v>
      </c>
      <c r="G34" s="5">
        <v>0</v>
      </c>
    </row>
    <row r="35" spans="1:7" x14ac:dyDescent="0.25">
      <c r="A35" s="4">
        <v>46214</v>
      </c>
      <c r="B35" s="2">
        <f t="shared" si="0"/>
        <v>46214</v>
      </c>
      <c r="C35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W14 (11/7 - 17/7)</v>
      </c>
      <c r="D35" s="3" t="s">
        <v>25</v>
      </c>
      <c r="E35" s="3" t="s">
        <v>21</v>
      </c>
      <c r="F35" s="3">
        <v>0</v>
      </c>
      <c r="G35" s="5">
        <v>0</v>
      </c>
    </row>
    <row r="36" spans="1:7" x14ac:dyDescent="0.25">
      <c r="A36" s="4">
        <v>46215</v>
      </c>
      <c r="B36" s="2">
        <f t="shared" si="0"/>
        <v>46215</v>
      </c>
      <c r="C36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W14 (11/7 - 17/7)</v>
      </c>
      <c r="D36" s="3" t="s">
        <v>25</v>
      </c>
      <c r="E36" s="3" t="s">
        <v>21</v>
      </c>
      <c r="F36" s="3">
        <v>0</v>
      </c>
      <c r="G36" s="5">
        <v>0</v>
      </c>
    </row>
    <row r="37" spans="1:7" x14ac:dyDescent="0.25">
      <c r="A37" s="4">
        <v>46216</v>
      </c>
      <c r="B37" s="2">
        <f t="shared" si="0"/>
        <v>46216</v>
      </c>
      <c r="C37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W14 (11/7 - 17/7)</v>
      </c>
      <c r="D37" s="3" t="s">
        <v>25</v>
      </c>
      <c r="E37" s="3" t="s">
        <v>21</v>
      </c>
      <c r="F37" s="3">
        <v>0</v>
      </c>
      <c r="G37" s="5">
        <v>0</v>
      </c>
    </row>
    <row r="38" spans="1:7" x14ac:dyDescent="0.25">
      <c r="A38" s="4">
        <v>46217</v>
      </c>
      <c r="B38" s="2">
        <f t="shared" ref="B38:B69" si="1">A38</f>
        <v>46217</v>
      </c>
      <c r="C38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W14 (11/7 - 17/7)</v>
      </c>
      <c r="D38" s="3" t="s">
        <v>25</v>
      </c>
      <c r="E38" s="3" t="s">
        <v>21</v>
      </c>
      <c r="F38" s="3">
        <v>0</v>
      </c>
      <c r="G38" s="5">
        <v>0</v>
      </c>
    </row>
    <row r="39" spans="1:7" x14ac:dyDescent="0.25">
      <c r="A39" s="4">
        <v>46218</v>
      </c>
      <c r="B39" s="2">
        <f t="shared" si="1"/>
        <v>46218</v>
      </c>
      <c r="C39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W14 (11/7 - 17/7)</v>
      </c>
      <c r="D39" s="3" t="s">
        <v>25</v>
      </c>
      <c r="E39" s="3" t="s">
        <v>21</v>
      </c>
      <c r="F39" s="3">
        <v>0</v>
      </c>
      <c r="G39" s="5">
        <v>0</v>
      </c>
    </row>
    <row r="40" spans="1:7" x14ac:dyDescent="0.25">
      <c r="A40" s="4">
        <v>46219</v>
      </c>
      <c r="B40" s="2">
        <f t="shared" si="1"/>
        <v>46219</v>
      </c>
      <c r="C40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W14 (11/7 - 17/7)</v>
      </c>
      <c r="D40" s="3" t="s">
        <v>25</v>
      </c>
      <c r="E40" s="3" t="s">
        <v>21</v>
      </c>
      <c r="F40" s="3">
        <v>0</v>
      </c>
      <c r="G40" s="5">
        <v>0</v>
      </c>
    </row>
    <row r="41" spans="1:7" x14ac:dyDescent="0.25">
      <c r="A41" s="4">
        <v>46220</v>
      </c>
      <c r="B41" s="2">
        <f t="shared" si="1"/>
        <v>46220</v>
      </c>
      <c r="C41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W14 (11/7 - 17/7)</v>
      </c>
      <c r="D41" s="3" t="s">
        <v>25</v>
      </c>
      <c r="E41" s="3" t="s">
        <v>21</v>
      </c>
      <c r="F41" s="3">
        <v>0</v>
      </c>
      <c r="G41" s="5">
        <v>0</v>
      </c>
    </row>
    <row r="42" spans="1:7" x14ac:dyDescent="0.25">
      <c r="A42" s="4">
        <v>46221</v>
      </c>
      <c r="B42" s="2">
        <f t="shared" si="1"/>
        <v>46221</v>
      </c>
      <c r="C42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W15 (18/7 - 24/7)</v>
      </c>
      <c r="D42" s="3" t="s">
        <v>25</v>
      </c>
      <c r="E42" s="3" t="s">
        <v>21</v>
      </c>
      <c r="F42" s="3">
        <v>0</v>
      </c>
      <c r="G42" s="5">
        <v>0</v>
      </c>
    </row>
    <row r="43" spans="1:7" x14ac:dyDescent="0.25">
      <c r="A43" s="4">
        <v>46222</v>
      </c>
      <c r="B43" s="2">
        <f t="shared" si="1"/>
        <v>46222</v>
      </c>
      <c r="C43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W15 (18/7 - 24/7)</v>
      </c>
      <c r="D43" s="3" t="s">
        <v>25</v>
      </c>
      <c r="E43" s="3" t="s">
        <v>21</v>
      </c>
      <c r="F43" s="3">
        <v>0</v>
      </c>
      <c r="G43" s="5">
        <v>0</v>
      </c>
    </row>
    <row r="44" spans="1:7" x14ac:dyDescent="0.25">
      <c r="A44" s="4">
        <v>46223</v>
      </c>
      <c r="B44" s="2">
        <f t="shared" si="1"/>
        <v>46223</v>
      </c>
      <c r="C44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W15 (18/7 - 24/7)</v>
      </c>
      <c r="D44" s="3" t="s">
        <v>25</v>
      </c>
      <c r="E44" s="3" t="s">
        <v>21</v>
      </c>
      <c r="F44" s="3">
        <v>0</v>
      </c>
      <c r="G44" s="5">
        <v>0</v>
      </c>
    </row>
    <row r="45" spans="1:7" x14ac:dyDescent="0.25">
      <c r="A45" s="4">
        <v>46224</v>
      </c>
      <c r="B45" s="2">
        <f t="shared" si="1"/>
        <v>46224</v>
      </c>
      <c r="C45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W15 (18/7 - 24/7)</v>
      </c>
      <c r="D45" s="3" t="s">
        <v>25</v>
      </c>
      <c r="E45" s="3" t="s">
        <v>21</v>
      </c>
      <c r="F45" s="3">
        <v>0</v>
      </c>
      <c r="G45" s="5">
        <v>0</v>
      </c>
    </row>
    <row r="46" spans="1:7" x14ac:dyDescent="0.25">
      <c r="A46" s="4">
        <v>46225</v>
      </c>
      <c r="B46" s="2">
        <f t="shared" si="1"/>
        <v>46225</v>
      </c>
      <c r="C46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W15 (18/7 - 24/7)</v>
      </c>
      <c r="D46" s="3" t="s">
        <v>25</v>
      </c>
      <c r="E46" s="3" t="s">
        <v>21</v>
      </c>
      <c r="F46" s="3">
        <v>0</v>
      </c>
      <c r="G46" s="5">
        <v>0</v>
      </c>
    </row>
    <row r="47" spans="1:7" x14ac:dyDescent="0.25">
      <c r="A47" s="4">
        <v>46226</v>
      </c>
      <c r="B47" s="2">
        <f t="shared" si="1"/>
        <v>46226</v>
      </c>
      <c r="C47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W15 (18/7 - 24/7)</v>
      </c>
      <c r="D47" s="3" t="s">
        <v>25</v>
      </c>
      <c r="E47" s="3" t="s">
        <v>21</v>
      </c>
      <c r="F47" s="3">
        <v>0</v>
      </c>
      <c r="G47" s="5">
        <v>0</v>
      </c>
    </row>
    <row r="48" spans="1:7" x14ac:dyDescent="0.25">
      <c r="A48" s="4">
        <v>46227</v>
      </c>
      <c r="B48" s="2">
        <f t="shared" si="1"/>
        <v>46227</v>
      </c>
      <c r="C48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W15 (18/7 - 24/7)</v>
      </c>
      <c r="D48" s="3" t="s">
        <v>25</v>
      </c>
      <c r="E48" s="3" t="s">
        <v>21</v>
      </c>
      <c r="F48" s="3">
        <v>0</v>
      </c>
      <c r="G48" s="5">
        <v>0</v>
      </c>
    </row>
    <row r="49" spans="1:7" x14ac:dyDescent="0.25">
      <c r="A49" s="4">
        <v>46228</v>
      </c>
      <c r="B49" s="2">
        <f t="shared" si="1"/>
        <v>46228</v>
      </c>
      <c r="C49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W16 (25/7 - 31/7)</v>
      </c>
      <c r="D49" s="3" t="s">
        <v>25</v>
      </c>
      <c r="E49" s="3" t="s">
        <v>21</v>
      </c>
      <c r="F49" s="3">
        <v>0</v>
      </c>
      <c r="G49" s="5">
        <v>0</v>
      </c>
    </row>
    <row r="50" spans="1:7" x14ac:dyDescent="0.25">
      <c r="A50" s="4">
        <v>46229</v>
      </c>
      <c r="B50" s="2">
        <f t="shared" si="1"/>
        <v>46229</v>
      </c>
      <c r="C50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W16 (25/7 - 31/7)</v>
      </c>
      <c r="D50" s="3" t="s">
        <v>25</v>
      </c>
      <c r="E50" s="3" t="s">
        <v>21</v>
      </c>
      <c r="F50" s="3">
        <v>0</v>
      </c>
      <c r="G50" s="5">
        <v>0</v>
      </c>
    </row>
    <row r="51" spans="1:7" x14ac:dyDescent="0.25">
      <c r="A51" s="4">
        <v>46230</v>
      </c>
      <c r="B51" s="2">
        <f t="shared" si="1"/>
        <v>46230</v>
      </c>
      <c r="C51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W16 (25/7 - 31/7)</v>
      </c>
      <c r="D51" s="3" t="s">
        <v>25</v>
      </c>
      <c r="E51" s="3" t="s">
        <v>21</v>
      </c>
      <c r="F51" s="3">
        <v>0</v>
      </c>
      <c r="G51" s="5">
        <v>0</v>
      </c>
    </row>
    <row r="52" spans="1:7" x14ac:dyDescent="0.25">
      <c r="A52" s="4">
        <v>46231</v>
      </c>
      <c r="B52" s="2">
        <f t="shared" si="1"/>
        <v>46231</v>
      </c>
      <c r="C52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W16 (25/7 - 31/7)</v>
      </c>
      <c r="D52" s="3" t="s">
        <v>25</v>
      </c>
      <c r="E52" s="3" t="s">
        <v>21</v>
      </c>
      <c r="F52" s="3">
        <v>0</v>
      </c>
      <c r="G52" s="5">
        <v>0</v>
      </c>
    </row>
    <row r="53" spans="1:7" x14ac:dyDescent="0.25">
      <c r="A53" s="4">
        <v>46232</v>
      </c>
      <c r="B53" s="2">
        <f t="shared" si="1"/>
        <v>46232</v>
      </c>
      <c r="C53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W16 (25/7 - 31/7)</v>
      </c>
      <c r="D53" s="3" t="s">
        <v>25</v>
      </c>
      <c r="E53" s="3" t="s">
        <v>21</v>
      </c>
      <c r="F53" s="3">
        <v>0</v>
      </c>
      <c r="G53" s="5">
        <v>0</v>
      </c>
    </row>
    <row r="54" spans="1:7" x14ac:dyDescent="0.25">
      <c r="A54" s="4">
        <v>46233</v>
      </c>
      <c r="B54" s="2">
        <f t="shared" si="1"/>
        <v>46233</v>
      </c>
      <c r="C54" s="3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W16 (25/7 - 31/7)</v>
      </c>
      <c r="D54" s="3" t="s">
        <v>25</v>
      </c>
      <c r="E54" s="3" t="s">
        <v>21</v>
      </c>
      <c r="F54" s="3">
        <v>0</v>
      </c>
      <c r="G54" s="5">
        <v>0</v>
      </c>
    </row>
    <row r="55" spans="1:7" x14ac:dyDescent="0.25">
      <c r="A55" s="9">
        <v>46234</v>
      </c>
      <c r="B55" s="10">
        <f t="shared" si="1"/>
        <v>46234</v>
      </c>
      <c r="C55" s="11" t="str">
        <f>IF(GEOLAB[[#This Row],[DATE]]&lt;DATE(2026,4,11),"0",_xlfn.LET(
_xlpm.W,INT((GEOLAB[[#This Row],[DATE]]-DATE(2026,4,11))/7)+1,
_xlpm.S,DATE(2026,4,11)+(_xlpm.W-1)*7,_xlpm.E,_xlpm.S+6,
"W"&amp;TEXT(_xlpm.W,"00")&amp;" ("&amp;TEXT(_xlpm.S,"d/m")&amp;" - "&amp;TEXT(_xlpm.E,"d/m")&amp;")"
))</f>
        <v>W16 (25/7 - 31/7)</v>
      </c>
      <c r="D55" s="3" t="s">
        <v>25</v>
      </c>
      <c r="E55" s="3" t="s">
        <v>21</v>
      </c>
      <c r="F55" s="3">
        <v>0</v>
      </c>
      <c r="G55" s="5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5:G90"/>
  <sheetViews>
    <sheetView topLeftCell="A61" zoomScaleNormal="100" workbookViewId="0">
      <selection activeCell="M72" sqref="M72"/>
    </sheetView>
  </sheetViews>
  <sheetFormatPr defaultColWidth="8.85546875" defaultRowHeight="12.75" x14ac:dyDescent="0.25"/>
  <cols>
    <col min="1" max="1" width="18.7109375" style="1" customWidth="1"/>
    <col min="2" max="2" width="13.7109375" style="1" customWidth="1"/>
    <col min="3" max="3" width="17.85546875" style="1" bestFit="1" customWidth="1"/>
    <col min="4" max="7" width="21.85546875" style="1" customWidth="1"/>
    <col min="8" max="8" width="8.85546875" style="1" customWidth="1"/>
    <col min="9" max="16384" width="8.85546875" style="1"/>
  </cols>
  <sheetData>
    <row r="5" spans="1:7" x14ac:dyDescent="0.25">
      <c r="A5" s="6" t="s">
        <v>0</v>
      </c>
      <c r="B5" s="7" t="s">
        <v>1</v>
      </c>
      <c r="C5" s="7" t="s">
        <v>2</v>
      </c>
      <c r="D5" s="7" t="s">
        <v>12</v>
      </c>
      <c r="E5" s="7" t="s">
        <v>13</v>
      </c>
      <c r="F5" s="7" t="s">
        <v>14</v>
      </c>
      <c r="G5" s="8" t="s">
        <v>15</v>
      </c>
    </row>
    <row r="6" spans="1:7" x14ac:dyDescent="0.25">
      <c r="A6" s="4">
        <v>46199</v>
      </c>
      <c r="B6" s="2">
        <f t="shared" ref="B6:B37" si="0">A6</f>
        <v>46199</v>
      </c>
      <c r="C6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W11 (20/6 - 26/6)</v>
      </c>
      <c r="D6" s="3" t="s">
        <v>26</v>
      </c>
      <c r="E6" s="3" t="s">
        <v>21</v>
      </c>
      <c r="F6" s="3">
        <v>4</v>
      </c>
      <c r="G6" s="5">
        <v>32</v>
      </c>
    </row>
    <row r="7" spans="1:7" x14ac:dyDescent="0.25">
      <c r="A7" s="4">
        <v>46200</v>
      </c>
      <c r="B7" s="2">
        <f t="shared" si="0"/>
        <v>46200</v>
      </c>
      <c r="C7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W12 (27/6 - 3/7)</v>
      </c>
      <c r="D7" s="3" t="s">
        <v>26</v>
      </c>
      <c r="E7" s="3" t="s">
        <v>21</v>
      </c>
      <c r="F7" s="3">
        <v>0</v>
      </c>
      <c r="G7" s="5">
        <v>0</v>
      </c>
    </row>
    <row r="8" spans="1:7" x14ac:dyDescent="0.25">
      <c r="A8" s="4">
        <v>46201</v>
      </c>
      <c r="B8" s="2">
        <f t="shared" si="0"/>
        <v>46201</v>
      </c>
      <c r="C8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W12 (27/6 - 3/7)</v>
      </c>
      <c r="D8" s="3" t="s">
        <v>26</v>
      </c>
      <c r="E8" s="3" t="s">
        <v>21</v>
      </c>
      <c r="F8" s="3">
        <v>0</v>
      </c>
      <c r="G8" s="5">
        <v>0</v>
      </c>
    </row>
    <row r="9" spans="1:7" x14ac:dyDescent="0.25">
      <c r="A9" s="4">
        <v>46202</v>
      </c>
      <c r="B9" s="2">
        <f t="shared" si="0"/>
        <v>46202</v>
      </c>
      <c r="C9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W12 (27/6 - 3/7)</v>
      </c>
      <c r="D9" s="3" t="s">
        <v>26</v>
      </c>
      <c r="E9" s="3" t="s">
        <v>21</v>
      </c>
      <c r="F9" s="3">
        <v>4</v>
      </c>
      <c r="G9" s="5">
        <v>32</v>
      </c>
    </row>
    <row r="10" spans="1:7" x14ac:dyDescent="0.25">
      <c r="A10" s="4">
        <v>46203</v>
      </c>
      <c r="B10" s="2">
        <f t="shared" si="0"/>
        <v>46203</v>
      </c>
      <c r="C10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W12 (27/6 - 3/7)</v>
      </c>
      <c r="D10" s="3" t="s">
        <v>26</v>
      </c>
      <c r="E10" s="3" t="s">
        <v>21</v>
      </c>
      <c r="F10" s="3">
        <v>7</v>
      </c>
      <c r="G10" s="5">
        <v>56</v>
      </c>
    </row>
    <row r="11" spans="1:7" x14ac:dyDescent="0.25">
      <c r="A11" s="4">
        <v>46204</v>
      </c>
      <c r="B11" s="2">
        <f t="shared" si="0"/>
        <v>46204</v>
      </c>
      <c r="C11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W12 (27/6 - 3/7)</v>
      </c>
      <c r="D11" s="3" t="s">
        <v>26</v>
      </c>
      <c r="E11" s="3" t="s">
        <v>21</v>
      </c>
      <c r="F11" s="3">
        <v>7</v>
      </c>
      <c r="G11" s="5">
        <v>56</v>
      </c>
    </row>
    <row r="12" spans="1:7" x14ac:dyDescent="0.25">
      <c r="A12" s="4">
        <v>46205</v>
      </c>
      <c r="B12" s="2">
        <f t="shared" si="0"/>
        <v>46205</v>
      </c>
      <c r="C12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W12 (27/6 - 3/7)</v>
      </c>
      <c r="D12" s="3" t="s">
        <v>26</v>
      </c>
      <c r="E12" s="3" t="s">
        <v>21</v>
      </c>
      <c r="F12" s="3">
        <v>7</v>
      </c>
      <c r="G12" s="5">
        <v>56</v>
      </c>
    </row>
    <row r="13" spans="1:7" x14ac:dyDescent="0.25">
      <c r="A13" s="4">
        <v>46206</v>
      </c>
      <c r="B13" s="2">
        <f t="shared" si="0"/>
        <v>46206</v>
      </c>
      <c r="C13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W12 (27/6 - 3/7)</v>
      </c>
      <c r="D13" s="3" t="s">
        <v>26</v>
      </c>
      <c r="E13" s="3" t="s">
        <v>21</v>
      </c>
      <c r="F13" s="3">
        <v>7</v>
      </c>
      <c r="G13" s="5">
        <v>56</v>
      </c>
    </row>
    <row r="14" spans="1:7" x14ac:dyDescent="0.25">
      <c r="A14" s="4">
        <v>46207</v>
      </c>
      <c r="B14" s="2">
        <f t="shared" si="0"/>
        <v>46207</v>
      </c>
      <c r="C14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W13 (4/7 - 10/7)</v>
      </c>
      <c r="D14" s="3" t="s">
        <v>26</v>
      </c>
      <c r="E14" s="3" t="s">
        <v>21</v>
      </c>
      <c r="F14" s="3">
        <v>7</v>
      </c>
      <c r="G14" s="5">
        <v>56</v>
      </c>
    </row>
    <row r="15" spans="1:7" x14ac:dyDescent="0.25">
      <c r="A15" s="4">
        <v>46208</v>
      </c>
      <c r="B15" s="2">
        <f t="shared" si="0"/>
        <v>46208</v>
      </c>
      <c r="C15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W13 (4/7 - 10/7)</v>
      </c>
      <c r="D15" s="3" t="s">
        <v>26</v>
      </c>
      <c r="E15" s="3" t="s">
        <v>21</v>
      </c>
      <c r="F15" s="3">
        <v>0</v>
      </c>
      <c r="G15" s="5">
        <v>0</v>
      </c>
    </row>
    <row r="16" spans="1:7" x14ac:dyDescent="0.25">
      <c r="A16" s="4">
        <v>46209</v>
      </c>
      <c r="B16" s="2">
        <f t="shared" si="0"/>
        <v>46209</v>
      </c>
      <c r="C16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W13 (4/7 - 10/7)</v>
      </c>
      <c r="D16" s="3" t="s">
        <v>26</v>
      </c>
      <c r="E16" s="3" t="s">
        <v>21</v>
      </c>
      <c r="F16" s="3">
        <v>0</v>
      </c>
      <c r="G16" s="5">
        <v>0</v>
      </c>
    </row>
    <row r="17" spans="1:7" x14ac:dyDescent="0.25">
      <c r="A17" s="4">
        <v>46210</v>
      </c>
      <c r="B17" s="2">
        <f t="shared" si="0"/>
        <v>46210</v>
      </c>
      <c r="C17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W13 (4/7 - 10/7)</v>
      </c>
      <c r="D17" s="3" t="s">
        <v>26</v>
      </c>
      <c r="E17" s="3" t="s">
        <v>21</v>
      </c>
      <c r="F17" s="3">
        <v>0</v>
      </c>
      <c r="G17" s="5">
        <v>0</v>
      </c>
    </row>
    <row r="18" spans="1:7" x14ac:dyDescent="0.25">
      <c r="A18" s="4">
        <v>46211</v>
      </c>
      <c r="B18" s="2">
        <f t="shared" si="0"/>
        <v>46211</v>
      </c>
      <c r="C18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W13 (4/7 - 10/7)</v>
      </c>
      <c r="D18" s="3" t="s">
        <v>26</v>
      </c>
      <c r="E18" s="3" t="s">
        <v>21</v>
      </c>
      <c r="F18" s="3">
        <v>5</v>
      </c>
      <c r="G18" s="5">
        <v>40</v>
      </c>
    </row>
    <row r="19" spans="1:7" x14ac:dyDescent="0.25">
      <c r="A19" s="4">
        <v>46212</v>
      </c>
      <c r="B19" s="2">
        <f t="shared" si="0"/>
        <v>46212</v>
      </c>
      <c r="C19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W13 (4/7 - 10/7)</v>
      </c>
      <c r="D19" s="3" t="s">
        <v>26</v>
      </c>
      <c r="E19" s="3" t="s">
        <v>21</v>
      </c>
      <c r="F19" s="3">
        <v>6</v>
      </c>
      <c r="G19" s="5">
        <v>48</v>
      </c>
    </row>
    <row r="20" spans="1:7" x14ac:dyDescent="0.25">
      <c r="A20" s="4">
        <v>46213</v>
      </c>
      <c r="B20" s="2">
        <f t="shared" si="0"/>
        <v>46213</v>
      </c>
      <c r="C20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W13 (4/7 - 10/7)</v>
      </c>
      <c r="D20" s="3" t="s">
        <v>26</v>
      </c>
      <c r="E20" s="3" t="s">
        <v>21</v>
      </c>
      <c r="F20" s="3">
        <v>8</v>
      </c>
      <c r="G20" s="5">
        <v>64</v>
      </c>
    </row>
    <row r="21" spans="1:7" x14ac:dyDescent="0.25">
      <c r="A21" s="4">
        <v>46214</v>
      </c>
      <c r="B21" s="2">
        <f t="shared" si="0"/>
        <v>46214</v>
      </c>
      <c r="C21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W14 (11/7 - 17/7)</v>
      </c>
      <c r="D21" s="3" t="s">
        <v>26</v>
      </c>
      <c r="E21" s="3" t="s">
        <v>21</v>
      </c>
      <c r="F21" s="3">
        <v>7</v>
      </c>
      <c r="G21" s="5">
        <v>56</v>
      </c>
    </row>
    <row r="22" spans="1:7" x14ac:dyDescent="0.25">
      <c r="A22" s="4">
        <v>46215</v>
      </c>
      <c r="B22" s="2">
        <f t="shared" si="0"/>
        <v>46215</v>
      </c>
      <c r="C22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W14 (11/7 - 17/7)</v>
      </c>
      <c r="D22" s="3" t="s">
        <v>26</v>
      </c>
      <c r="E22" s="3" t="s">
        <v>21</v>
      </c>
      <c r="F22" s="3">
        <v>6</v>
      </c>
      <c r="G22" s="5">
        <v>48</v>
      </c>
    </row>
    <row r="23" spans="1:7" x14ac:dyDescent="0.25">
      <c r="A23" s="4">
        <v>46216</v>
      </c>
      <c r="B23" s="2">
        <f t="shared" si="0"/>
        <v>46216</v>
      </c>
      <c r="C23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W14 (11/7 - 17/7)</v>
      </c>
      <c r="D23" s="3" t="s">
        <v>26</v>
      </c>
      <c r="E23" s="3" t="s">
        <v>21</v>
      </c>
      <c r="F23" s="3">
        <v>7</v>
      </c>
      <c r="G23" s="5">
        <v>56</v>
      </c>
    </row>
    <row r="24" spans="1:7" x14ac:dyDescent="0.25">
      <c r="A24" s="4">
        <v>46217</v>
      </c>
      <c r="B24" s="2">
        <f t="shared" si="0"/>
        <v>46217</v>
      </c>
      <c r="C24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W14 (11/7 - 17/7)</v>
      </c>
      <c r="D24" s="3" t="s">
        <v>26</v>
      </c>
      <c r="E24" s="3" t="s">
        <v>21</v>
      </c>
      <c r="F24" s="3">
        <v>6</v>
      </c>
      <c r="G24" s="5">
        <v>48</v>
      </c>
    </row>
    <row r="25" spans="1:7" x14ac:dyDescent="0.25">
      <c r="A25" s="4">
        <v>46218</v>
      </c>
      <c r="B25" s="2">
        <f t="shared" si="0"/>
        <v>46218</v>
      </c>
      <c r="C25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W14 (11/7 - 17/7)</v>
      </c>
      <c r="D25" s="3" t="s">
        <v>26</v>
      </c>
      <c r="E25" s="3" t="s">
        <v>21</v>
      </c>
      <c r="F25" s="3">
        <v>7</v>
      </c>
      <c r="G25" s="5">
        <v>56</v>
      </c>
    </row>
    <row r="26" spans="1:7" x14ac:dyDescent="0.25">
      <c r="A26" s="4">
        <v>46219</v>
      </c>
      <c r="B26" s="2">
        <f t="shared" si="0"/>
        <v>46219</v>
      </c>
      <c r="C26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W14 (11/7 - 17/7)</v>
      </c>
      <c r="D26" s="3" t="s">
        <v>26</v>
      </c>
      <c r="E26" s="3" t="s">
        <v>21</v>
      </c>
      <c r="F26" s="3">
        <v>7</v>
      </c>
      <c r="G26" s="5">
        <v>56</v>
      </c>
    </row>
    <row r="27" spans="1:7" x14ac:dyDescent="0.25">
      <c r="A27" s="4">
        <v>46220</v>
      </c>
      <c r="B27" s="2">
        <f t="shared" si="0"/>
        <v>46220</v>
      </c>
      <c r="C27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W14 (11/7 - 17/7)</v>
      </c>
      <c r="D27" s="3" t="s">
        <v>26</v>
      </c>
      <c r="E27" s="3" t="s">
        <v>21</v>
      </c>
      <c r="F27" s="3">
        <v>10</v>
      </c>
      <c r="G27" s="5">
        <v>80</v>
      </c>
    </row>
    <row r="28" spans="1:7" x14ac:dyDescent="0.25">
      <c r="A28" s="4">
        <v>46221</v>
      </c>
      <c r="B28" s="2">
        <f t="shared" si="0"/>
        <v>46221</v>
      </c>
      <c r="C28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W15 (18/7 - 24/7)</v>
      </c>
      <c r="D28" s="3" t="s">
        <v>26</v>
      </c>
      <c r="E28" s="3" t="s">
        <v>21</v>
      </c>
      <c r="F28" s="3">
        <v>10</v>
      </c>
      <c r="G28" s="5">
        <v>80</v>
      </c>
    </row>
    <row r="29" spans="1:7" x14ac:dyDescent="0.25">
      <c r="A29" s="4">
        <v>46222</v>
      </c>
      <c r="B29" s="2">
        <f t="shared" si="0"/>
        <v>46222</v>
      </c>
      <c r="C29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W15 (18/7 - 24/7)</v>
      </c>
      <c r="D29" s="3" t="s">
        <v>26</v>
      </c>
      <c r="E29" s="3" t="s">
        <v>21</v>
      </c>
      <c r="F29" s="3">
        <v>10</v>
      </c>
      <c r="G29" s="5">
        <v>80</v>
      </c>
    </row>
    <row r="30" spans="1:7" x14ac:dyDescent="0.25">
      <c r="A30" s="4">
        <v>46223</v>
      </c>
      <c r="B30" s="2">
        <f t="shared" si="0"/>
        <v>46223</v>
      </c>
      <c r="C30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W15 (18/7 - 24/7)</v>
      </c>
      <c r="D30" s="3" t="s">
        <v>26</v>
      </c>
      <c r="E30" s="3" t="s">
        <v>21</v>
      </c>
      <c r="F30" s="3">
        <v>11</v>
      </c>
      <c r="G30" s="5">
        <v>88</v>
      </c>
    </row>
    <row r="31" spans="1:7" x14ac:dyDescent="0.25">
      <c r="A31" s="4">
        <v>46224</v>
      </c>
      <c r="B31" s="2">
        <f t="shared" si="0"/>
        <v>46224</v>
      </c>
      <c r="C31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W15 (18/7 - 24/7)</v>
      </c>
      <c r="D31" s="3" t="s">
        <v>26</v>
      </c>
      <c r="E31" s="3" t="s">
        <v>21</v>
      </c>
      <c r="F31" s="3">
        <v>10</v>
      </c>
      <c r="G31" s="5">
        <v>80</v>
      </c>
    </row>
    <row r="32" spans="1:7" x14ac:dyDescent="0.25">
      <c r="A32" s="4">
        <v>46225</v>
      </c>
      <c r="B32" s="2">
        <f t="shared" si="0"/>
        <v>46225</v>
      </c>
      <c r="C32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W15 (18/7 - 24/7)</v>
      </c>
      <c r="D32" s="3" t="s">
        <v>26</v>
      </c>
      <c r="E32" s="3" t="s">
        <v>21</v>
      </c>
      <c r="F32" s="3">
        <v>11</v>
      </c>
      <c r="G32" s="5">
        <v>88</v>
      </c>
    </row>
    <row r="33" spans="1:7" x14ac:dyDescent="0.25">
      <c r="A33" s="4">
        <v>46226</v>
      </c>
      <c r="B33" s="2">
        <f t="shared" si="0"/>
        <v>46226</v>
      </c>
      <c r="C33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W15 (18/7 - 24/7)</v>
      </c>
      <c r="D33" s="3" t="s">
        <v>26</v>
      </c>
      <c r="E33" s="3" t="s">
        <v>21</v>
      </c>
      <c r="F33" s="3">
        <v>11</v>
      </c>
      <c r="G33" s="5">
        <v>88</v>
      </c>
    </row>
    <row r="34" spans="1:7" x14ac:dyDescent="0.25">
      <c r="A34" s="4">
        <v>46227</v>
      </c>
      <c r="B34" s="2">
        <f t="shared" si="0"/>
        <v>46227</v>
      </c>
      <c r="C34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W15 (18/7 - 24/7)</v>
      </c>
      <c r="D34" s="3" t="s">
        <v>26</v>
      </c>
      <c r="E34" s="3" t="s">
        <v>21</v>
      </c>
      <c r="F34" s="3">
        <v>10</v>
      </c>
      <c r="G34" s="5">
        <v>80</v>
      </c>
    </row>
    <row r="35" spans="1:7" x14ac:dyDescent="0.25">
      <c r="A35" s="4">
        <v>46228</v>
      </c>
      <c r="B35" s="2">
        <f t="shared" si="0"/>
        <v>46228</v>
      </c>
      <c r="C35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W16 (25/7 - 31/7)</v>
      </c>
      <c r="D35" s="3" t="s">
        <v>26</v>
      </c>
      <c r="E35" s="3" t="s">
        <v>21</v>
      </c>
      <c r="F35" s="3">
        <v>11</v>
      </c>
      <c r="G35" s="5">
        <v>88</v>
      </c>
    </row>
    <row r="36" spans="1:7" x14ac:dyDescent="0.25">
      <c r="A36" s="4">
        <v>46229</v>
      </c>
      <c r="B36" s="2">
        <f t="shared" si="0"/>
        <v>46229</v>
      </c>
      <c r="C36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W16 (25/7 - 31/7)</v>
      </c>
      <c r="D36" s="3" t="s">
        <v>26</v>
      </c>
      <c r="E36" s="3" t="s">
        <v>21</v>
      </c>
      <c r="F36" s="3">
        <v>9</v>
      </c>
      <c r="G36" s="5">
        <v>72</v>
      </c>
    </row>
    <row r="37" spans="1:7" x14ac:dyDescent="0.25">
      <c r="A37" s="4">
        <v>46230</v>
      </c>
      <c r="B37" s="2">
        <f t="shared" si="0"/>
        <v>46230</v>
      </c>
      <c r="C37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W16 (25/7 - 31/7)</v>
      </c>
      <c r="D37" s="3" t="s">
        <v>26</v>
      </c>
      <c r="E37" s="3" t="s">
        <v>21</v>
      </c>
      <c r="F37" s="3">
        <v>10</v>
      </c>
      <c r="G37" s="5">
        <v>80</v>
      </c>
    </row>
    <row r="38" spans="1:7" x14ac:dyDescent="0.25">
      <c r="A38" s="4">
        <v>46231</v>
      </c>
      <c r="B38" s="2">
        <f t="shared" ref="B38:B69" si="1">A38</f>
        <v>46231</v>
      </c>
      <c r="C38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W16 (25/7 - 31/7)</v>
      </c>
      <c r="D38" s="3" t="s">
        <v>26</v>
      </c>
      <c r="E38" s="3" t="s">
        <v>21</v>
      </c>
      <c r="F38" s="3">
        <v>11</v>
      </c>
      <c r="G38" s="5">
        <v>88</v>
      </c>
    </row>
    <row r="39" spans="1:7" x14ac:dyDescent="0.25">
      <c r="A39" s="4">
        <v>46232</v>
      </c>
      <c r="B39" s="2">
        <f t="shared" si="1"/>
        <v>46232</v>
      </c>
      <c r="C39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W16 (25/7 - 31/7)</v>
      </c>
      <c r="D39" s="3" t="s">
        <v>26</v>
      </c>
      <c r="E39" s="3" t="s">
        <v>21</v>
      </c>
      <c r="F39" s="3">
        <v>10</v>
      </c>
      <c r="G39" s="5">
        <v>80</v>
      </c>
    </row>
    <row r="40" spans="1:7" x14ac:dyDescent="0.25">
      <c r="A40" s="4">
        <v>46233</v>
      </c>
      <c r="B40" s="2">
        <f t="shared" si="1"/>
        <v>46233</v>
      </c>
      <c r="C40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W16 (25/7 - 31/7)</v>
      </c>
      <c r="D40" s="3" t="s">
        <v>26</v>
      </c>
      <c r="E40" s="3" t="s">
        <v>21</v>
      </c>
      <c r="F40" s="3">
        <v>10</v>
      </c>
      <c r="G40" s="5">
        <v>80</v>
      </c>
    </row>
    <row r="41" spans="1:7" x14ac:dyDescent="0.25">
      <c r="A41" s="9">
        <v>46234</v>
      </c>
      <c r="B41" s="10">
        <f t="shared" si="1"/>
        <v>46234</v>
      </c>
      <c r="C41" s="11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W16 (25/7 - 31/7)</v>
      </c>
      <c r="D41" s="3" t="s">
        <v>26</v>
      </c>
      <c r="E41" s="3" t="s">
        <v>21</v>
      </c>
      <c r="F41" s="11">
        <v>10</v>
      </c>
      <c r="G41" s="12">
        <v>80</v>
      </c>
    </row>
    <row r="42" spans="1:7" x14ac:dyDescent="0.25">
      <c r="A42" s="4">
        <v>46235</v>
      </c>
      <c r="B42" s="2">
        <f t="shared" si="1"/>
        <v>46235</v>
      </c>
      <c r="C42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W17 (1/8 - 7/8)</v>
      </c>
      <c r="D42" s="3" t="s">
        <v>26</v>
      </c>
      <c r="E42" s="3" t="s">
        <v>21</v>
      </c>
      <c r="F42" s="11">
        <v>10</v>
      </c>
      <c r="G42" s="5">
        <v>80</v>
      </c>
    </row>
    <row r="43" spans="1:7" x14ac:dyDescent="0.25">
      <c r="A43" s="4">
        <v>46236</v>
      </c>
      <c r="B43" s="2">
        <f t="shared" si="1"/>
        <v>46236</v>
      </c>
      <c r="C43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W17 (1/8 - 7/8)</v>
      </c>
      <c r="D43" s="3" t="s">
        <v>26</v>
      </c>
      <c r="E43" s="3" t="s">
        <v>21</v>
      </c>
      <c r="F43" s="3">
        <v>5</v>
      </c>
      <c r="G43" s="5">
        <v>40</v>
      </c>
    </row>
    <row r="44" spans="1:7" x14ac:dyDescent="0.25">
      <c r="A44" s="9">
        <v>46237</v>
      </c>
      <c r="B44" s="2">
        <f t="shared" si="1"/>
        <v>46237</v>
      </c>
      <c r="C44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W17 (1/8 - 7/8)</v>
      </c>
      <c r="D44" s="3" t="s">
        <v>26</v>
      </c>
      <c r="E44" s="3" t="s">
        <v>21</v>
      </c>
      <c r="F44" s="3">
        <v>9</v>
      </c>
      <c r="G44" s="5">
        <v>72</v>
      </c>
    </row>
    <row r="45" spans="1:7" x14ac:dyDescent="0.25">
      <c r="A45" s="4">
        <v>46238</v>
      </c>
      <c r="B45" s="2">
        <f t="shared" si="1"/>
        <v>46238</v>
      </c>
      <c r="C45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W17 (1/8 - 7/8)</v>
      </c>
      <c r="D45" s="3" t="s">
        <v>26</v>
      </c>
      <c r="E45" s="3" t="s">
        <v>21</v>
      </c>
      <c r="F45" s="3">
        <v>10</v>
      </c>
      <c r="G45" s="5">
        <v>80</v>
      </c>
    </row>
    <row r="46" spans="1:7" x14ac:dyDescent="0.25">
      <c r="A46" s="9">
        <v>46239</v>
      </c>
      <c r="B46" s="2">
        <f t="shared" si="1"/>
        <v>46239</v>
      </c>
      <c r="C46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W17 (1/8 - 7/8)</v>
      </c>
      <c r="D46" s="3" t="s">
        <v>26</v>
      </c>
      <c r="E46" s="3" t="s">
        <v>21</v>
      </c>
      <c r="F46" s="3">
        <v>6</v>
      </c>
      <c r="G46" s="5">
        <v>48</v>
      </c>
    </row>
    <row r="47" spans="1:7" x14ac:dyDescent="0.25">
      <c r="A47" s="4">
        <v>46240</v>
      </c>
      <c r="B47" s="2">
        <f t="shared" si="1"/>
        <v>46240</v>
      </c>
      <c r="C47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W17 (1/8 - 7/8)</v>
      </c>
      <c r="D47" s="3" t="s">
        <v>26</v>
      </c>
      <c r="E47" s="3" t="s">
        <v>21</v>
      </c>
      <c r="F47" s="3">
        <v>6</v>
      </c>
      <c r="G47" s="5">
        <v>48</v>
      </c>
    </row>
    <row r="48" spans="1:7" x14ac:dyDescent="0.25">
      <c r="A48" s="9">
        <v>46241</v>
      </c>
      <c r="B48" s="2">
        <f t="shared" si="1"/>
        <v>46241</v>
      </c>
      <c r="C48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W17 (1/8 - 7/8)</v>
      </c>
      <c r="D48" s="3" t="s">
        <v>26</v>
      </c>
      <c r="E48" s="3" t="s">
        <v>21</v>
      </c>
      <c r="F48" s="3">
        <v>6</v>
      </c>
      <c r="G48" s="5">
        <v>48</v>
      </c>
    </row>
    <row r="49" spans="1:7" x14ac:dyDescent="0.25">
      <c r="A49" s="4">
        <v>46242</v>
      </c>
      <c r="B49" s="2">
        <f t="shared" si="1"/>
        <v>46242</v>
      </c>
      <c r="C49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W18 (8/8 - 14/8)</v>
      </c>
      <c r="D49" s="3" t="s">
        <v>26</v>
      </c>
      <c r="E49" s="3" t="s">
        <v>21</v>
      </c>
      <c r="F49" s="3">
        <v>1</v>
      </c>
      <c r="G49" s="5">
        <v>8</v>
      </c>
    </row>
    <row r="50" spans="1:7" x14ac:dyDescent="0.25">
      <c r="A50" s="9">
        <v>46243</v>
      </c>
      <c r="B50" s="10">
        <f t="shared" si="1"/>
        <v>46243</v>
      </c>
      <c r="C50" s="11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W18 (8/8 - 14/8)</v>
      </c>
      <c r="D50" s="3" t="s">
        <v>26</v>
      </c>
      <c r="E50" s="3" t="s">
        <v>21</v>
      </c>
      <c r="F50" s="11">
        <v>0</v>
      </c>
      <c r="G50" s="12">
        <v>0</v>
      </c>
    </row>
    <row r="51" spans="1:7" x14ac:dyDescent="0.25">
      <c r="A51" s="4">
        <v>46244</v>
      </c>
      <c r="B51" s="2">
        <f t="shared" si="1"/>
        <v>46244</v>
      </c>
      <c r="C51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W18 (8/8 - 14/8)</v>
      </c>
      <c r="D51" s="3" t="s">
        <v>26</v>
      </c>
      <c r="E51" s="3" t="s">
        <v>21</v>
      </c>
      <c r="F51" s="3">
        <v>3</v>
      </c>
      <c r="G51" s="5">
        <v>24</v>
      </c>
    </row>
    <row r="52" spans="1:7" x14ac:dyDescent="0.25">
      <c r="A52" s="9">
        <v>46245</v>
      </c>
      <c r="B52" s="2">
        <f t="shared" si="1"/>
        <v>46245</v>
      </c>
      <c r="C52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W18 (8/8 - 14/8)</v>
      </c>
      <c r="D52" s="3" t="s">
        <v>26</v>
      </c>
      <c r="E52" s="3" t="s">
        <v>21</v>
      </c>
      <c r="F52" s="3">
        <v>3</v>
      </c>
      <c r="G52" s="5">
        <v>24</v>
      </c>
    </row>
    <row r="53" spans="1:7" x14ac:dyDescent="0.25">
      <c r="A53" s="4">
        <v>46246</v>
      </c>
      <c r="B53" s="2">
        <f t="shared" si="1"/>
        <v>46246</v>
      </c>
      <c r="C53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W18 (8/8 - 14/8)</v>
      </c>
      <c r="D53" s="3" t="s">
        <v>26</v>
      </c>
      <c r="E53" s="3" t="s">
        <v>21</v>
      </c>
      <c r="F53" s="3">
        <v>0</v>
      </c>
      <c r="G53" s="5">
        <v>0</v>
      </c>
    </row>
    <row r="54" spans="1:7" x14ac:dyDescent="0.25">
      <c r="A54" s="9">
        <v>46247</v>
      </c>
      <c r="B54" s="2">
        <f t="shared" si="1"/>
        <v>46247</v>
      </c>
      <c r="C54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W18 (8/8 - 14/8)</v>
      </c>
      <c r="D54" s="3" t="s">
        <v>26</v>
      </c>
      <c r="E54" s="3" t="s">
        <v>21</v>
      </c>
      <c r="F54" s="3">
        <v>3</v>
      </c>
      <c r="G54" s="5">
        <v>24</v>
      </c>
    </row>
    <row r="55" spans="1:7" x14ac:dyDescent="0.25">
      <c r="A55" s="4">
        <v>46248</v>
      </c>
      <c r="B55" s="2">
        <f t="shared" si="1"/>
        <v>46248</v>
      </c>
      <c r="C55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W18 (8/8 - 14/8)</v>
      </c>
      <c r="D55" s="3" t="s">
        <v>26</v>
      </c>
      <c r="E55" s="3" t="s">
        <v>21</v>
      </c>
      <c r="F55" s="3">
        <v>4</v>
      </c>
      <c r="G55" s="5">
        <v>32</v>
      </c>
    </row>
    <row r="56" spans="1:7" x14ac:dyDescent="0.25">
      <c r="A56" s="9">
        <v>46249</v>
      </c>
      <c r="B56" s="2">
        <f t="shared" si="1"/>
        <v>46249</v>
      </c>
      <c r="C56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W19 (15/8 - 21/8)</v>
      </c>
      <c r="D56" s="3" t="s">
        <v>26</v>
      </c>
      <c r="E56" s="3" t="s">
        <v>21</v>
      </c>
      <c r="F56" s="3">
        <v>4</v>
      </c>
      <c r="G56" s="5">
        <v>32</v>
      </c>
    </row>
    <row r="57" spans="1:7" x14ac:dyDescent="0.25">
      <c r="A57" s="4">
        <v>46250</v>
      </c>
      <c r="B57" s="2">
        <f t="shared" si="1"/>
        <v>46250</v>
      </c>
      <c r="C57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W19 (15/8 - 21/8)</v>
      </c>
      <c r="D57" s="3" t="s">
        <v>26</v>
      </c>
      <c r="E57" s="3" t="s">
        <v>21</v>
      </c>
      <c r="F57" s="3">
        <v>4</v>
      </c>
      <c r="G57" s="5">
        <v>32</v>
      </c>
    </row>
    <row r="58" spans="1:7" x14ac:dyDescent="0.25">
      <c r="A58" s="9">
        <v>46251</v>
      </c>
      <c r="B58" s="2">
        <f t="shared" si="1"/>
        <v>46251</v>
      </c>
      <c r="C58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W19 (15/8 - 21/8)</v>
      </c>
      <c r="D58" s="3" t="s">
        <v>26</v>
      </c>
      <c r="E58" s="3" t="s">
        <v>21</v>
      </c>
      <c r="F58" s="3">
        <v>4</v>
      </c>
      <c r="G58" s="5">
        <v>32</v>
      </c>
    </row>
    <row r="59" spans="1:7" x14ac:dyDescent="0.25">
      <c r="A59" s="4">
        <v>46252</v>
      </c>
      <c r="B59" s="2">
        <f t="shared" si="1"/>
        <v>46252</v>
      </c>
      <c r="C59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W19 (15/8 - 21/8)</v>
      </c>
      <c r="D59" s="3" t="s">
        <v>26</v>
      </c>
      <c r="E59" s="3" t="s">
        <v>21</v>
      </c>
      <c r="F59" s="3">
        <v>2</v>
      </c>
      <c r="G59" s="5">
        <v>16</v>
      </c>
    </row>
    <row r="60" spans="1:7" x14ac:dyDescent="0.25">
      <c r="A60" s="9">
        <v>46253</v>
      </c>
      <c r="B60" s="2">
        <f t="shared" si="1"/>
        <v>46253</v>
      </c>
      <c r="C60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W19 (15/8 - 21/8)</v>
      </c>
      <c r="D60" s="3" t="s">
        <v>26</v>
      </c>
      <c r="E60" s="3" t="s">
        <v>21</v>
      </c>
      <c r="F60" s="3">
        <v>0</v>
      </c>
      <c r="G60" s="5">
        <v>0</v>
      </c>
    </row>
    <row r="61" spans="1:7" x14ac:dyDescent="0.25">
      <c r="A61" s="4">
        <v>46254</v>
      </c>
      <c r="B61" s="2">
        <f t="shared" si="1"/>
        <v>46254</v>
      </c>
      <c r="C61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W19 (15/8 - 21/8)</v>
      </c>
      <c r="D61" s="3" t="s">
        <v>26</v>
      </c>
      <c r="E61" s="3" t="s">
        <v>21</v>
      </c>
      <c r="F61" s="3">
        <v>2</v>
      </c>
      <c r="G61" s="5">
        <v>16</v>
      </c>
    </row>
    <row r="62" spans="1:7" x14ac:dyDescent="0.25">
      <c r="A62" s="9">
        <v>46255</v>
      </c>
      <c r="B62" s="2">
        <f t="shared" si="1"/>
        <v>46255</v>
      </c>
      <c r="C62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W19 (15/8 - 21/8)</v>
      </c>
      <c r="D62" s="3" t="s">
        <v>26</v>
      </c>
      <c r="E62" s="3" t="s">
        <v>21</v>
      </c>
      <c r="F62" s="3">
        <v>0</v>
      </c>
      <c r="G62" s="5">
        <v>0</v>
      </c>
    </row>
    <row r="63" spans="1:7" x14ac:dyDescent="0.25">
      <c r="A63" s="4">
        <v>46256</v>
      </c>
      <c r="B63" s="2">
        <f t="shared" si="1"/>
        <v>46256</v>
      </c>
      <c r="C63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W20 (22/8 - 28/8)</v>
      </c>
      <c r="D63" s="3" t="s">
        <v>26</v>
      </c>
      <c r="E63" s="3" t="s">
        <v>21</v>
      </c>
      <c r="F63" s="3">
        <v>0</v>
      </c>
      <c r="G63" s="5">
        <v>0</v>
      </c>
    </row>
    <row r="64" spans="1:7" x14ac:dyDescent="0.25">
      <c r="A64" s="9">
        <v>46257</v>
      </c>
      <c r="B64" s="2">
        <f t="shared" si="1"/>
        <v>46257</v>
      </c>
      <c r="C64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W20 (22/8 - 28/8)</v>
      </c>
      <c r="D64" s="3" t="s">
        <v>26</v>
      </c>
      <c r="E64" s="3" t="s">
        <v>21</v>
      </c>
      <c r="F64" s="3">
        <v>0</v>
      </c>
      <c r="G64" s="5">
        <v>0</v>
      </c>
    </row>
    <row r="65" spans="1:7" x14ac:dyDescent="0.25">
      <c r="A65" s="4">
        <v>46258</v>
      </c>
      <c r="B65" s="10">
        <f t="shared" si="1"/>
        <v>46258</v>
      </c>
      <c r="C65" s="11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W20 (22/8 - 28/8)</v>
      </c>
      <c r="D65" s="3" t="s">
        <v>26</v>
      </c>
      <c r="E65" s="3" t="s">
        <v>21</v>
      </c>
      <c r="F65" s="11">
        <v>0</v>
      </c>
      <c r="G65" s="12">
        <v>0</v>
      </c>
    </row>
    <row r="66" spans="1:7" x14ac:dyDescent="0.25">
      <c r="A66" s="9">
        <v>46259</v>
      </c>
      <c r="B66" s="2">
        <f t="shared" si="1"/>
        <v>46259</v>
      </c>
      <c r="C66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W20 (22/8 - 28/8)</v>
      </c>
      <c r="D66" s="3" t="s">
        <v>26</v>
      </c>
      <c r="E66" s="3" t="s">
        <v>21</v>
      </c>
      <c r="F66" s="3">
        <v>0</v>
      </c>
      <c r="G66" s="5">
        <v>0</v>
      </c>
    </row>
    <row r="67" spans="1:7" x14ac:dyDescent="0.25">
      <c r="A67" s="4">
        <v>46260</v>
      </c>
      <c r="B67" s="2">
        <f t="shared" si="1"/>
        <v>46260</v>
      </c>
      <c r="C67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W20 (22/8 - 28/8)</v>
      </c>
      <c r="D67" s="3" t="s">
        <v>26</v>
      </c>
      <c r="E67" s="3" t="s">
        <v>21</v>
      </c>
      <c r="F67" s="3">
        <v>0</v>
      </c>
      <c r="G67" s="5">
        <v>0</v>
      </c>
    </row>
    <row r="68" spans="1:7" x14ac:dyDescent="0.25">
      <c r="A68" s="9">
        <v>46261</v>
      </c>
      <c r="B68" s="2">
        <f t="shared" si="1"/>
        <v>46261</v>
      </c>
      <c r="C68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W20 (22/8 - 28/8)</v>
      </c>
      <c r="D68" s="3" t="s">
        <v>26</v>
      </c>
      <c r="E68" s="3" t="s">
        <v>21</v>
      </c>
      <c r="F68" s="3">
        <v>0</v>
      </c>
      <c r="G68" s="5">
        <v>0</v>
      </c>
    </row>
    <row r="69" spans="1:7" x14ac:dyDescent="0.25">
      <c r="A69" s="4">
        <v>46262</v>
      </c>
      <c r="B69" s="2">
        <f t="shared" si="1"/>
        <v>46262</v>
      </c>
      <c r="C69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W20 (22/8 - 28/8)</v>
      </c>
      <c r="D69" s="3" t="s">
        <v>26</v>
      </c>
      <c r="E69" s="3" t="s">
        <v>21</v>
      </c>
      <c r="F69" s="3">
        <v>2</v>
      </c>
      <c r="G69" s="5">
        <v>16</v>
      </c>
    </row>
    <row r="70" spans="1:7" x14ac:dyDescent="0.25">
      <c r="A70" s="9">
        <v>46263</v>
      </c>
      <c r="B70" s="2">
        <f t="shared" ref="B70:B101" si="2">A70</f>
        <v>46263</v>
      </c>
      <c r="C70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W21 (29/8 - 4/9)</v>
      </c>
      <c r="D70" s="3" t="s">
        <v>26</v>
      </c>
      <c r="E70" s="3" t="s">
        <v>21</v>
      </c>
      <c r="F70" s="3">
        <v>3</v>
      </c>
      <c r="G70" s="5">
        <v>24</v>
      </c>
    </row>
    <row r="71" spans="1:7" x14ac:dyDescent="0.25">
      <c r="A71" s="4">
        <v>46264</v>
      </c>
      <c r="B71" s="2">
        <f t="shared" si="2"/>
        <v>46264</v>
      </c>
      <c r="C71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W21 (29/8 - 4/9)</v>
      </c>
      <c r="D71" s="3" t="s">
        <v>26</v>
      </c>
      <c r="E71" s="3" t="s">
        <v>21</v>
      </c>
      <c r="F71" s="3">
        <v>0</v>
      </c>
      <c r="G71" s="5">
        <v>0</v>
      </c>
    </row>
    <row r="72" spans="1:7" x14ac:dyDescent="0.25">
      <c r="A72" s="9">
        <v>46265</v>
      </c>
      <c r="B72" s="10">
        <f t="shared" si="2"/>
        <v>46265</v>
      </c>
      <c r="C72" s="11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W21 (29/8 - 4/9)</v>
      </c>
      <c r="D72" s="3" t="s">
        <v>26</v>
      </c>
      <c r="E72" s="3" t="s">
        <v>21</v>
      </c>
      <c r="F72" s="11">
        <v>0</v>
      </c>
      <c r="G72" s="12">
        <v>0</v>
      </c>
    </row>
    <row r="73" spans="1:7" x14ac:dyDescent="0.25">
      <c r="A73" s="4">
        <v>46266</v>
      </c>
      <c r="B73" s="2">
        <f t="shared" si="2"/>
        <v>46266</v>
      </c>
      <c r="C73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W21 (29/8 - 4/9)</v>
      </c>
      <c r="D73" s="3" t="s">
        <v>26</v>
      </c>
      <c r="E73" s="3" t="s">
        <v>21</v>
      </c>
      <c r="F73" s="3">
        <v>0</v>
      </c>
      <c r="G73" s="5">
        <v>0</v>
      </c>
    </row>
    <row r="74" spans="1:7" x14ac:dyDescent="0.25">
      <c r="A74" s="9">
        <v>46267</v>
      </c>
      <c r="B74" s="2">
        <f t="shared" si="2"/>
        <v>46267</v>
      </c>
      <c r="C74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W21 (29/8 - 4/9)</v>
      </c>
      <c r="D74" s="3" t="s">
        <v>26</v>
      </c>
      <c r="E74" s="3" t="s">
        <v>21</v>
      </c>
      <c r="F74" s="3">
        <v>0</v>
      </c>
      <c r="G74" s="5">
        <v>0</v>
      </c>
    </row>
    <row r="75" spans="1:7" x14ac:dyDescent="0.25">
      <c r="A75" s="4">
        <v>46268</v>
      </c>
      <c r="B75" s="2">
        <f t="shared" si="2"/>
        <v>46268</v>
      </c>
      <c r="C75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W21 (29/8 - 4/9)</v>
      </c>
      <c r="D75" s="3" t="s">
        <v>26</v>
      </c>
      <c r="E75" s="3" t="s">
        <v>21</v>
      </c>
      <c r="F75" s="3">
        <v>3</v>
      </c>
      <c r="G75" s="5">
        <v>24</v>
      </c>
    </row>
    <row r="76" spans="1:7" x14ac:dyDescent="0.25">
      <c r="A76" s="9">
        <v>46269</v>
      </c>
      <c r="B76" s="2">
        <f t="shared" si="2"/>
        <v>46269</v>
      </c>
      <c r="C76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W21 (29/8 - 4/9)</v>
      </c>
      <c r="D76" s="3" t="s">
        <v>26</v>
      </c>
      <c r="E76" s="3" t="s">
        <v>21</v>
      </c>
      <c r="F76" s="3">
        <v>3</v>
      </c>
      <c r="G76" s="5">
        <v>24</v>
      </c>
    </row>
    <row r="77" spans="1:7" x14ac:dyDescent="0.25">
      <c r="A77" s="4">
        <v>46270</v>
      </c>
      <c r="B77" s="2">
        <f t="shared" si="2"/>
        <v>46270</v>
      </c>
      <c r="C77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W22 (5/9 - 11/9)</v>
      </c>
      <c r="D77" s="3" t="s">
        <v>26</v>
      </c>
      <c r="E77" s="3" t="s">
        <v>21</v>
      </c>
      <c r="F77" s="3">
        <v>0</v>
      </c>
      <c r="G77" s="5">
        <v>0</v>
      </c>
    </row>
    <row r="78" spans="1:7" x14ac:dyDescent="0.25">
      <c r="A78" s="9">
        <v>46271</v>
      </c>
      <c r="B78" s="2">
        <f t="shared" si="2"/>
        <v>46271</v>
      </c>
      <c r="C78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W22 (5/9 - 11/9)</v>
      </c>
      <c r="D78" s="3" t="s">
        <v>26</v>
      </c>
      <c r="E78" s="3" t="s">
        <v>21</v>
      </c>
      <c r="F78" s="3">
        <v>0</v>
      </c>
      <c r="G78" s="5">
        <v>0</v>
      </c>
    </row>
    <row r="79" spans="1:7" x14ac:dyDescent="0.25">
      <c r="A79" s="4">
        <v>46272</v>
      </c>
      <c r="B79" s="2">
        <f t="shared" si="2"/>
        <v>46272</v>
      </c>
      <c r="C79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W22 (5/9 - 11/9)</v>
      </c>
      <c r="D79" s="3" t="s">
        <v>26</v>
      </c>
      <c r="E79" s="3" t="s">
        <v>21</v>
      </c>
      <c r="F79" s="3">
        <v>0</v>
      </c>
      <c r="G79" s="5">
        <v>0</v>
      </c>
    </row>
    <row r="80" spans="1:7" x14ac:dyDescent="0.25">
      <c r="A80" s="9">
        <v>46273</v>
      </c>
      <c r="B80" s="2">
        <f t="shared" si="2"/>
        <v>46273</v>
      </c>
      <c r="C80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W22 (5/9 - 11/9)</v>
      </c>
      <c r="D80" s="3" t="s">
        <v>26</v>
      </c>
      <c r="E80" s="3" t="s">
        <v>21</v>
      </c>
      <c r="F80" s="3">
        <v>0</v>
      </c>
      <c r="G80" s="5">
        <v>0</v>
      </c>
    </row>
    <row r="81" spans="1:7" x14ac:dyDescent="0.25">
      <c r="A81" s="4">
        <v>46274</v>
      </c>
      <c r="B81" s="2">
        <f t="shared" si="2"/>
        <v>46274</v>
      </c>
      <c r="C81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W22 (5/9 - 11/9)</v>
      </c>
      <c r="D81" s="3" t="s">
        <v>26</v>
      </c>
      <c r="E81" s="3" t="s">
        <v>21</v>
      </c>
      <c r="F81" s="3">
        <v>0</v>
      </c>
      <c r="G81" s="5">
        <v>0</v>
      </c>
    </row>
    <row r="82" spans="1:7" x14ac:dyDescent="0.25">
      <c r="A82" s="9">
        <v>46275</v>
      </c>
      <c r="B82" s="2">
        <f t="shared" si="2"/>
        <v>46275</v>
      </c>
      <c r="C82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W22 (5/9 - 11/9)</v>
      </c>
      <c r="D82" s="3" t="s">
        <v>26</v>
      </c>
      <c r="E82" s="3" t="s">
        <v>21</v>
      </c>
      <c r="F82" s="3">
        <v>0</v>
      </c>
      <c r="G82" s="5">
        <v>0</v>
      </c>
    </row>
    <row r="83" spans="1:7" x14ac:dyDescent="0.25">
      <c r="A83" s="4">
        <v>46276</v>
      </c>
      <c r="B83" s="2">
        <f t="shared" si="2"/>
        <v>46276</v>
      </c>
      <c r="C83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W22 (5/9 - 11/9)</v>
      </c>
      <c r="D83" s="3" t="s">
        <v>26</v>
      </c>
      <c r="E83" s="3" t="s">
        <v>21</v>
      </c>
      <c r="F83" s="3">
        <v>0</v>
      </c>
      <c r="G83" s="5">
        <v>0</v>
      </c>
    </row>
    <row r="84" spans="1:7" x14ac:dyDescent="0.25">
      <c r="A84" s="9">
        <v>46277</v>
      </c>
      <c r="B84" s="2">
        <f t="shared" si="2"/>
        <v>46277</v>
      </c>
      <c r="C84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W23 (12/9 - 18/9)</v>
      </c>
      <c r="D84" s="3" t="s">
        <v>26</v>
      </c>
      <c r="E84" s="3" t="s">
        <v>21</v>
      </c>
      <c r="F84" s="3">
        <v>4</v>
      </c>
      <c r="G84" s="5">
        <v>32</v>
      </c>
    </row>
    <row r="85" spans="1:7" x14ac:dyDescent="0.25">
      <c r="A85" s="4">
        <v>46278</v>
      </c>
      <c r="B85" s="2">
        <f t="shared" si="2"/>
        <v>46278</v>
      </c>
      <c r="C85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W23 (12/9 - 18/9)</v>
      </c>
      <c r="D85" s="3" t="s">
        <v>26</v>
      </c>
      <c r="E85" s="3" t="s">
        <v>21</v>
      </c>
      <c r="F85" s="3">
        <v>0</v>
      </c>
      <c r="G85" s="5">
        <v>0</v>
      </c>
    </row>
    <row r="86" spans="1:7" x14ac:dyDescent="0.25">
      <c r="A86" s="9">
        <v>46279</v>
      </c>
      <c r="B86" s="2">
        <f t="shared" si="2"/>
        <v>46279</v>
      </c>
      <c r="C86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W23 (12/9 - 18/9)</v>
      </c>
      <c r="D86" s="3" t="s">
        <v>26</v>
      </c>
      <c r="E86" s="3" t="s">
        <v>21</v>
      </c>
      <c r="F86" s="3">
        <v>3</v>
      </c>
      <c r="G86" s="5">
        <v>24</v>
      </c>
    </row>
    <row r="87" spans="1:7" x14ac:dyDescent="0.25">
      <c r="A87" s="4">
        <v>46280</v>
      </c>
      <c r="B87" s="2">
        <f t="shared" si="2"/>
        <v>46280</v>
      </c>
      <c r="C87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W23 (12/9 - 18/9)</v>
      </c>
      <c r="D87" s="3" t="s">
        <v>26</v>
      </c>
      <c r="E87" s="3" t="s">
        <v>21</v>
      </c>
      <c r="F87" s="3">
        <v>3</v>
      </c>
      <c r="G87" s="5">
        <v>24</v>
      </c>
    </row>
    <row r="88" spans="1:7" x14ac:dyDescent="0.25">
      <c r="A88" s="9">
        <v>46281</v>
      </c>
      <c r="B88" s="2">
        <f t="shared" si="2"/>
        <v>46281</v>
      </c>
      <c r="C88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W23 (12/9 - 18/9)</v>
      </c>
      <c r="D88" s="3" t="s">
        <v>26</v>
      </c>
      <c r="E88" s="3" t="s">
        <v>21</v>
      </c>
      <c r="F88" s="3">
        <v>3</v>
      </c>
      <c r="G88" s="5">
        <v>24</v>
      </c>
    </row>
    <row r="89" spans="1:7" x14ac:dyDescent="0.25">
      <c r="A89" s="4">
        <v>46282</v>
      </c>
      <c r="B89" s="2">
        <f t="shared" si="2"/>
        <v>46282</v>
      </c>
      <c r="C89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W23 (12/9 - 18/9)</v>
      </c>
      <c r="D89" s="3" t="s">
        <v>26</v>
      </c>
      <c r="E89" s="3" t="s">
        <v>21</v>
      </c>
      <c r="F89" s="3">
        <v>0</v>
      </c>
      <c r="G89" s="5">
        <v>0</v>
      </c>
    </row>
    <row r="90" spans="1:7" x14ac:dyDescent="0.25">
      <c r="A90" s="9">
        <v>46283</v>
      </c>
      <c r="B90" s="2">
        <f t="shared" si="2"/>
        <v>46283</v>
      </c>
      <c r="C90" s="3" t="str">
        <f>IF(TWINSTEEL[[#This Row],[DATE]]&lt;DATE(2026,4,11),"0",_xlfn.LET(
_xlpm.W,INT((TWINSTEEL[[#This Row],[DATE]]-DATE(2026,4,11))/7)+1,
_xlpm.S,DATE(2026,4,11)+(_xlpm.W-1)*7,
_xlpm.E,_xlpm.S+6,
"W"&amp;TEXT(_xlpm.W,"00")&amp;" ("&amp;TEXT(_xlpm.S,"d/m")&amp;" - "&amp;TEXT(_xlpm.E,"d/m")&amp;")"
))</f>
        <v>W23 (12/9 - 18/9)</v>
      </c>
      <c r="D90" s="3" t="s">
        <v>26</v>
      </c>
      <c r="E90" s="3" t="s">
        <v>21</v>
      </c>
      <c r="F90" s="3">
        <v>0</v>
      </c>
      <c r="G90" s="5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5:G79"/>
  <sheetViews>
    <sheetView topLeftCell="A43" zoomScaleNormal="100" workbookViewId="0">
      <selection activeCell="G85" sqref="G85"/>
    </sheetView>
  </sheetViews>
  <sheetFormatPr defaultColWidth="8.85546875" defaultRowHeight="12.75" x14ac:dyDescent="0.25"/>
  <cols>
    <col min="1" max="1" width="18.7109375" style="1" customWidth="1"/>
    <col min="2" max="2" width="13.7109375" style="1" customWidth="1"/>
    <col min="3" max="3" width="17.85546875" style="1" bestFit="1" customWidth="1"/>
    <col min="4" max="7" width="21.85546875" style="1" customWidth="1"/>
    <col min="8" max="8" width="8.85546875" style="1" customWidth="1"/>
    <col min="9" max="16384" width="8.85546875" style="1"/>
  </cols>
  <sheetData>
    <row r="5" spans="1:7" x14ac:dyDescent="0.25">
      <c r="A5" s="6" t="s">
        <v>0</v>
      </c>
      <c r="B5" s="7" t="s">
        <v>1</v>
      </c>
      <c r="C5" s="7" t="s">
        <v>2</v>
      </c>
      <c r="D5" s="7" t="s">
        <v>12</v>
      </c>
      <c r="E5" s="7" t="s">
        <v>13</v>
      </c>
      <c r="F5" s="7" t="s">
        <v>14</v>
      </c>
      <c r="G5" s="8" t="s">
        <v>15</v>
      </c>
    </row>
    <row r="6" spans="1:7" x14ac:dyDescent="0.25">
      <c r="A6" s="4">
        <v>46204</v>
      </c>
      <c r="B6" s="2">
        <f t="shared" ref="B6:B37" si="0">A6</f>
        <v>46204</v>
      </c>
      <c r="C6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W12 (27/6 - 3/7)</v>
      </c>
      <c r="D6" s="3" t="s">
        <v>27</v>
      </c>
      <c r="E6" s="3" t="s">
        <v>21</v>
      </c>
      <c r="F6" s="3">
        <v>0</v>
      </c>
      <c r="G6" s="5">
        <v>0</v>
      </c>
    </row>
    <row r="7" spans="1:7" x14ac:dyDescent="0.25">
      <c r="A7" s="4">
        <v>46205</v>
      </c>
      <c r="B7" s="2">
        <f t="shared" si="0"/>
        <v>46205</v>
      </c>
      <c r="C7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W12 (27/6 - 3/7)</v>
      </c>
      <c r="D7" s="3" t="s">
        <v>27</v>
      </c>
      <c r="E7" s="3" t="s">
        <v>21</v>
      </c>
      <c r="F7" s="3">
        <v>0</v>
      </c>
      <c r="G7" s="5">
        <v>0</v>
      </c>
    </row>
    <row r="8" spans="1:7" x14ac:dyDescent="0.25">
      <c r="A8" s="4">
        <v>46206</v>
      </c>
      <c r="B8" s="2">
        <f t="shared" si="0"/>
        <v>46206</v>
      </c>
      <c r="C8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W12 (27/6 - 3/7)</v>
      </c>
      <c r="D8" s="3" t="s">
        <v>27</v>
      </c>
      <c r="E8" s="3" t="s">
        <v>21</v>
      </c>
      <c r="F8" s="3">
        <v>0</v>
      </c>
      <c r="G8" s="5">
        <v>0</v>
      </c>
    </row>
    <row r="9" spans="1:7" x14ac:dyDescent="0.25">
      <c r="A9" s="4">
        <v>46207</v>
      </c>
      <c r="B9" s="2">
        <f t="shared" si="0"/>
        <v>46207</v>
      </c>
      <c r="C9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W13 (4/7 - 10/7)</v>
      </c>
      <c r="D9" s="3" t="s">
        <v>27</v>
      </c>
      <c r="E9" s="3" t="s">
        <v>21</v>
      </c>
      <c r="F9" s="3">
        <v>0</v>
      </c>
      <c r="G9" s="5">
        <v>0</v>
      </c>
    </row>
    <row r="10" spans="1:7" x14ac:dyDescent="0.25">
      <c r="A10" s="4">
        <v>46208</v>
      </c>
      <c r="B10" s="2">
        <f t="shared" si="0"/>
        <v>46208</v>
      </c>
      <c r="C10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W13 (4/7 - 10/7)</v>
      </c>
      <c r="D10" s="3" t="s">
        <v>27</v>
      </c>
      <c r="E10" s="3" t="s">
        <v>21</v>
      </c>
      <c r="F10" s="3">
        <v>0</v>
      </c>
      <c r="G10" s="5">
        <v>0</v>
      </c>
    </row>
    <row r="11" spans="1:7" x14ac:dyDescent="0.25">
      <c r="A11" s="4">
        <v>46209</v>
      </c>
      <c r="B11" s="2">
        <f t="shared" si="0"/>
        <v>46209</v>
      </c>
      <c r="C11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W13 (4/7 - 10/7)</v>
      </c>
      <c r="D11" s="3" t="s">
        <v>27</v>
      </c>
      <c r="E11" s="3" t="s">
        <v>21</v>
      </c>
      <c r="F11" s="3">
        <v>0</v>
      </c>
      <c r="G11" s="5">
        <v>0</v>
      </c>
    </row>
    <row r="12" spans="1:7" x14ac:dyDescent="0.25">
      <c r="A12" s="4">
        <v>46210</v>
      </c>
      <c r="B12" s="2">
        <f t="shared" si="0"/>
        <v>46210</v>
      </c>
      <c r="C12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W13 (4/7 - 10/7)</v>
      </c>
      <c r="D12" s="3" t="s">
        <v>27</v>
      </c>
      <c r="E12" s="3" t="s">
        <v>21</v>
      </c>
      <c r="F12" s="3">
        <v>0</v>
      </c>
      <c r="G12" s="5">
        <v>0</v>
      </c>
    </row>
    <row r="13" spans="1:7" x14ac:dyDescent="0.25">
      <c r="A13" s="4">
        <v>46211</v>
      </c>
      <c r="B13" s="2">
        <f t="shared" si="0"/>
        <v>46211</v>
      </c>
      <c r="C13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W13 (4/7 - 10/7)</v>
      </c>
      <c r="D13" s="3" t="s">
        <v>27</v>
      </c>
      <c r="E13" s="3" t="s">
        <v>21</v>
      </c>
      <c r="F13" s="3">
        <v>0</v>
      </c>
      <c r="G13" s="5">
        <v>0</v>
      </c>
    </row>
    <row r="14" spans="1:7" x14ac:dyDescent="0.25">
      <c r="A14" s="4">
        <v>46212</v>
      </c>
      <c r="B14" s="2">
        <f t="shared" si="0"/>
        <v>46212</v>
      </c>
      <c r="C14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W13 (4/7 - 10/7)</v>
      </c>
      <c r="D14" s="3" t="s">
        <v>27</v>
      </c>
      <c r="E14" s="3" t="s">
        <v>21</v>
      </c>
      <c r="F14" s="3">
        <v>0</v>
      </c>
      <c r="G14" s="5">
        <v>0</v>
      </c>
    </row>
    <row r="15" spans="1:7" x14ac:dyDescent="0.25">
      <c r="A15" s="4">
        <v>46213</v>
      </c>
      <c r="B15" s="2">
        <f t="shared" si="0"/>
        <v>46213</v>
      </c>
      <c r="C15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W13 (4/7 - 10/7)</v>
      </c>
      <c r="D15" s="3" t="s">
        <v>27</v>
      </c>
      <c r="E15" s="3" t="s">
        <v>21</v>
      </c>
      <c r="F15" s="3">
        <v>0</v>
      </c>
      <c r="G15" s="5">
        <v>0</v>
      </c>
    </row>
    <row r="16" spans="1:7" x14ac:dyDescent="0.25">
      <c r="A16" s="4">
        <v>46214</v>
      </c>
      <c r="B16" s="2">
        <f t="shared" si="0"/>
        <v>46214</v>
      </c>
      <c r="C16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W14 (11/7 - 17/7)</v>
      </c>
      <c r="D16" s="3" t="s">
        <v>27</v>
      </c>
      <c r="E16" s="3" t="s">
        <v>21</v>
      </c>
      <c r="F16" s="3">
        <v>0</v>
      </c>
      <c r="G16" s="5">
        <v>0</v>
      </c>
    </row>
    <row r="17" spans="1:7" x14ac:dyDescent="0.25">
      <c r="A17" s="4">
        <v>46215</v>
      </c>
      <c r="B17" s="2">
        <f t="shared" si="0"/>
        <v>46215</v>
      </c>
      <c r="C17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W14 (11/7 - 17/7)</v>
      </c>
      <c r="D17" s="3" t="s">
        <v>27</v>
      </c>
      <c r="E17" s="3" t="s">
        <v>21</v>
      </c>
      <c r="F17" s="3">
        <v>0</v>
      </c>
      <c r="G17" s="5">
        <v>0</v>
      </c>
    </row>
    <row r="18" spans="1:7" x14ac:dyDescent="0.25">
      <c r="A18" s="4">
        <v>46216</v>
      </c>
      <c r="B18" s="2">
        <f t="shared" si="0"/>
        <v>46216</v>
      </c>
      <c r="C18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W14 (11/7 - 17/7)</v>
      </c>
      <c r="D18" s="3" t="s">
        <v>27</v>
      </c>
      <c r="E18" s="3" t="s">
        <v>21</v>
      </c>
      <c r="F18" s="3">
        <v>0</v>
      </c>
      <c r="G18" s="5">
        <v>0</v>
      </c>
    </row>
    <row r="19" spans="1:7" x14ac:dyDescent="0.25">
      <c r="A19" s="4">
        <v>46217</v>
      </c>
      <c r="B19" s="2">
        <f t="shared" si="0"/>
        <v>46217</v>
      </c>
      <c r="C19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W14 (11/7 - 17/7)</v>
      </c>
      <c r="D19" s="3" t="s">
        <v>27</v>
      </c>
      <c r="E19" s="3" t="s">
        <v>21</v>
      </c>
      <c r="F19" s="3">
        <v>0</v>
      </c>
      <c r="G19" s="5">
        <v>0</v>
      </c>
    </row>
    <row r="20" spans="1:7" x14ac:dyDescent="0.25">
      <c r="A20" s="4">
        <v>46218</v>
      </c>
      <c r="B20" s="2">
        <f t="shared" si="0"/>
        <v>46218</v>
      </c>
      <c r="C20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W14 (11/7 - 17/7)</v>
      </c>
      <c r="D20" s="3" t="s">
        <v>27</v>
      </c>
      <c r="E20" s="3" t="s">
        <v>21</v>
      </c>
      <c r="F20" s="3">
        <v>0</v>
      </c>
      <c r="G20" s="5">
        <v>0</v>
      </c>
    </row>
    <row r="21" spans="1:7" x14ac:dyDescent="0.25">
      <c r="A21" s="4">
        <v>46219</v>
      </c>
      <c r="B21" s="2">
        <f t="shared" si="0"/>
        <v>46219</v>
      </c>
      <c r="C21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W14 (11/7 - 17/7)</v>
      </c>
      <c r="D21" s="3" t="s">
        <v>27</v>
      </c>
      <c r="E21" s="3" t="s">
        <v>21</v>
      </c>
      <c r="F21" s="3">
        <v>0</v>
      </c>
      <c r="G21" s="5">
        <v>0</v>
      </c>
    </row>
    <row r="22" spans="1:7" x14ac:dyDescent="0.25">
      <c r="A22" s="4">
        <v>46220</v>
      </c>
      <c r="B22" s="2">
        <f t="shared" si="0"/>
        <v>46220</v>
      </c>
      <c r="C22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W14 (11/7 - 17/7)</v>
      </c>
      <c r="D22" s="3" t="s">
        <v>27</v>
      </c>
      <c r="E22" s="3" t="s">
        <v>21</v>
      </c>
      <c r="F22" s="3">
        <v>0</v>
      </c>
      <c r="G22" s="5">
        <v>0</v>
      </c>
    </row>
    <row r="23" spans="1:7" x14ac:dyDescent="0.25">
      <c r="A23" s="4">
        <v>46221</v>
      </c>
      <c r="B23" s="2">
        <f t="shared" si="0"/>
        <v>46221</v>
      </c>
      <c r="C23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W15 (18/7 - 24/7)</v>
      </c>
      <c r="D23" s="3" t="s">
        <v>27</v>
      </c>
      <c r="E23" s="3" t="s">
        <v>21</v>
      </c>
      <c r="F23" s="3">
        <v>0</v>
      </c>
      <c r="G23" s="5">
        <v>0</v>
      </c>
    </row>
    <row r="24" spans="1:7" x14ac:dyDescent="0.25">
      <c r="A24" s="4">
        <v>46222</v>
      </c>
      <c r="B24" s="2">
        <f t="shared" si="0"/>
        <v>46222</v>
      </c>
      <c r="C24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W15 (18/7 - 24/7)</v>
      </c>
      <c r="D24" s="3" t="s">
        <v>27</v>
      </c>
      <c r="E24" s="3" t="s">
        <v>21</v>
      </c>
      <c r="F24" s="3">
        <v>0</v>
      </c>
      <c r="G24" s="5">
        <v>0</v>
      </c>
    </row>
    <row r="25" spans="1:7" x14ac:dyDescent="0.25">
      <c r="A25" s="4">
        <v>46223</v>
      </c>
      <c r="B25" s="2">
        <f t="shared" si="0"/>
        <v>46223</v>
      </c>
      <c r="C25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W15 (18/7 - 24/7)</v>
      </c>
      <c r="D25" s="3" t="s">
        <v>27</v>
      </c>
      <c r="E25" s="3" t="s">
        <v>21</v>
      </c>
      <c r="F25" s="3">
        <v>0</v>
      </c>
      <c r="G25" s="5">
        <v>0</v>
      </c>
    </row>
    <row r="26" spans="1:7" x14ac:dyDescent="0.25">
      <c r="A26" s="4">
        <v>46224</v>
      </c>
      <c r="B26" s="2">
        <f t="shared" si="0"/>
        <v>46224</v>
      </c>
      <c r="C26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W15 (18/7 - 24/7)</v>
      </c>
      <c r="D26" s="3" t="s">
        <v>27</v>
      </c>
      <c r="E26" s="3" t="s">
        <v>21</v>
      </c>
      <c r="F26" s="3">
        <v>0</v>
      </c>
      <c r="G26" s="5">
        <v>0</v>
      </c>
    </row>
    <row r="27" spans="1:7" x14ac:dyDescent="0.25">
      <c r="A27" s="4">
        <v>46225</v>
      </c>
      <c r="B27" s="2">
        <f t="shared" si="0"/>
        <v>46225</v>
      </c>
      <c r="C27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W15 (18/7 - 24/7)</v>
      </c>
      <c r="D27" s="3" t="s">
        <v>27</v>
      </c>
      <c r="E27" s="3" t="s">
        <v>21</v>
      </c>
      <c r="F27" s="3">
        <v>0</v>
      </c>
      <c r="G27" s="5">
        <v>0</v>
      </c>
    </row>
    <row r="28" spans="1:7" x14ac:dyDescent="0.25">
      <c r="A28" s="4">
        <v>46226</v>
      </c>
      <c r="B28" s="2">
        <f t="shared" si="0"/>
        <v>46226</v>
      </c>
      <c r="C28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W15 (18/7 - 24/7)</v>
      </c>
      <c r="D28" s="3" t="s">
        <v>27</v>
      </c>
      <c r="E28" s="3" t="s">
        <v>21</v>
      </c>
      <c r="F28" s="3">
        <v>0</v>
      </c>
      <c r="G28" s="5">
        <v>0</v>
      </c>
    </row>
    <row r="29" spans="1:7" x14ac:dyDescent="0.25">
      <c r="A29" s="4">
        <v>46227</v>
      </c>
      <c r="B29" s="2">
        <f t="shared" si="0"/>
        <v>46227</v>
      </c>
      <c r="C29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W15 (18/7 - 24/7)</v>
      </c>
      <c r="D29" s="3" t="s">
        <v>27</v>
      </c>
      <c r="E29" s="3" t="s">
        <v>21</v>
      </c>
      <c r="F29" s="3">
        <v>0</v>
      </c>
      <c r="G29" s="5">
        <v>0</v>
      </c>
    </row>
    <row r="30" spans="1:7" x14ac:dyDescent="0.25">
      <c r="A30" s="4">
        <v>46228</v>
      </c>
      <c r="B30" s="2">
        <f t="shared" si="0"/>
        <v>46228</v>
      </c>
      <c r="C30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W16 (25/7 - 31/7)</v>
      </c>
      <c r="D30" s="3" t="s">
        <v>27</v>
      </c>
      <c r="E30" s="3" t="s">
        <v>21</v>
      </c>
      <c r="F30" s="3">
        <v>0</v>
      </c>
      <c r="G30" s="5">
        <v>0</v>
      </c>
    </row>
    <row r="31" spans="1:7" x14ac:dyDescent="0.25">
      <c r="A31" s="4">
        <v>46229</v>
      </c>
      <c r="B31" s="2">
        <f t="shared" si="0"/>
        <v>46229</v>
      </c>
      <c r="C31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W16 (25/7 - 31/7)</v>
      </c>
      <c r="D31" s="3" t="s">
        <v>27</v>
      </c>
      <c r="E31" s="3" t="s">
        <v>21</v>
      </c>
      <c r="F31" s="3">
        <v>0</v>
      </c>
      <c r="G31" s="5">
        <v>0</v>
      </c>
    </row>
    <row r="32" spans="1:7" x14ac:dyDescent="0.25">
      <c r="A32" s="4">
        <v>46230</v>
      </c>
      <c r="B32" s="2">
        <f t="shared" si="0"/>
        <v>46230</v>
      </c>
      <c r="C32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W16 (25/7 - 31/7)</v>
      </c>
      <c r="D32" s="3" t="s">
        <v>27</v>
      </c>
      <c r="E32" s="3" t="s">
        <v>21</v>
      </c>
      <c r="F32" s="3">
        <v>0</v>
      </c>
      <c r="G32" s="5">
        <v>0</v>
      </c>
    </row>
    <row r="33" spans="1:7" x14ac:dyDescent="0.25">
      <c r="A33" s="4">
        <v>46231</v>
      </c>
      <c r="B33" s="2">
        <f t="shared" si="0"/>
        <v>46231</v>
      </c>
      <c r="C33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W16 (25/7 - 31/7)</v>
      </c>
      <c r="D33" s="3" t="s">
        <v>27</v>
      </c>
      <c r="E33" s="3" t="s">
        <v>21</v>
      </c>
      <c r="F33" s="3">
        <v>5</v>
      </c>
      <c r="G33" s="5">
        <v>40</v>
      </c>
    </row>
    <row r="34" spans="1:7" x14ac:dyDescent="0.25">
      <c r="A34" s="4">
        <v>46232</v>
      </c>
      <c r="B34" s="2">
        <f t="shared" si="0"/>
        <v>46232</v>
      </c>
      <c r="C34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W16 (25/7 - 31/7)</v>
      </c>
      <c r="D34" s="3" t="s">
        <v>27</v>
      </c>
      <c r="E34" s="3" t="s">
        <v>21</v>
      </c>
      <c r="F34" s="3">
        <v>5</v>
      </c>
      <c r="G34" s="5">
        <v>40</v>
      </c>
    </row>
    <row r="35" spans="1:7" x14ac:dyDescent="0.25">
      <c r="A35" s="4">
        <v>46233</v>
      </c>
      <c r="B35" s="2">
        <f t="shared" si="0"/>
        <v>46233</v>
      </c>
      <c r="C35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W16 (25/7 - 31/7)</v>
      </c>
      <c r="D35" s="3" t="s">
        <v>27</v>
      </c>
      <c r="E35" s="3" t="s">
        <v>21</v>
      </c>
      <c r="F35" s="3">
        <v>5</v>
      </c>
      <c r="G35" s="5">
        <v>40</v>
      </c>
    </row>
    <row r="36" spans="1:7" x14ac:dyDescent="0.25">
      <c r="A36" s="9">
        <v>46234</v>
      </c>
      <c r="B36" s="10">
        <f t="shared" si="0"/>
        <v>46234</v>
      </c>
      <c r="C36" s="11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W16 (25/7 - 31/7)</v>
      </c>
      <c r="D36" s="3" t="s">
        <v>27</v>
      </c>
      <c r="E36" s="3" t="s">
        <v>21</v>
      </c>
      <c r="F36" s="11">
        <v>0</v>
      </c>
      <c r="G36" s="12">
        <v>0</v>
      </c>
    </row>
    <row r="37" spans="1:7" x14ac:dyDescent="0.25">
      <c r="A37" s="4">
        <v>46235</v>
      </c>
      <c r="B37" s="2">
        <f t="shared" si="0"/>
        <v>46235</v>
      </c>
      <c r="C37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W17 (1/8 - 7/8)</v>
      </c>
      <c r="D37" s="3" t="s">
        <v>27</v>
      </c>
      <c r="E37" s="3" t="s">
        <v>21</v>
      </c>
      <c r="F37" s="11">
        <v>0</v>
      </c>
      <c r="G37" s="12">
        <v>0</v>
      </c>
    </row>
    <row r="38" spans="1:7" x14ac:dyDescent="0.25">
      <c r="A38" s="9">
        <v>46236</v>
      </c>
      <c r="B38" s="2">
        <f t="shared" ref="B38:B69" si="1">A38</f>
        <v>46236</v>
      </c>
      <c r="C38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W17 (1/8 - 7/8)</v>
      </c>
      <c r="D38" s="3" t="s">
        <v>27</v>
      </c>
      <c r="E38" s="3" t="s">
        <v>21</v>
      </c>
      <c r="F38" s="11">
        <v>0</v>
      </c>
      <c r="G38" s="12">
        <v>0</v>
      </c>
    </row>
    <row r="39" spans="1:7" x14ac:dyDescent="0.25">
      <c r="A39" s="4">
        <v>46237</v>
      </c>
      <c r="B39" s="2">
        <f t="shared" si="1"/>
        <v>46237</v>
      </c>
      <c r="C39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W17 (1/8 - 7/8)</v>
      </c>
      <c r="D39" s="3" t="s">
        <v>27</v>
      </c>
      <c r="E39" s="3" t="s">
        <v>21</v>
      </c>
      <c r="F39" s="11">
        <v>0</v>
      </c>
      <c r="G39" s="12">
        <v>0</v>
      </c>
    </row>
    <row r="40" spans="1:7" x14ac:dyDescent="0.25">
      <c r="A40" s="9">
        <v>46238</v>
      </c>
      <c r="B40" s="2">
        <f t="shared" si="1"/>
        <v>46238</v>
      </c>
      <c r="C40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W17 (1/8 - 7/8)</v>
      </c>
      <c r="D40" s="3" t="s">
        <v>27</v>
      </c>
      <c r="E40" s="3" t="s">
        <v>21</v>
      </c>
      <c r="F40" s="11">
        <v>0</v>
      </c>
      <c r="G40" s="12">
        <v>0</v>
      </c>
    </row>
    <row r="41" spans="1:7" x14ac:dyDescent="0.25">
      <c r="A41" s="4">
        <v>46239</v>
      </c>
      <c r="B41" s="2">
        <f t="shared" si="1"/>
        <v>46239</v>
      </c>
      <c r="C41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W17 (1/8 - 7/8)</v>
      </c>
      <c r="D41" s="3" t="s">
        <v>27</v>
      </c>
      <c r="E41" s="3" t="s">
        <v>21</v>
      </c>
      <c r="F41" s="11">
        <v>0</v>
      </c>
      <c r="G41" s="12">
        <v>0</v>
      </c>
    </row>
    <row r="42" spans="1:7" x14ac:dyDescent="0.25">
      <c r="A42" s="9">
        <v>46240</v>
      </c>
      <c r="B42" s="2">
        <f t="shared" si="1"/>
        <v>46240</v>
      </c>
      <c r="C42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W17 (1/8 - 7/8)</v>
      </c>
      <c r="D42" s="3" t="s">
        <v>27</v>
      </c>
      <c r="E42" s="3" t="s">
        <v>21</v>
      </c>
      <c r="F42" s="11">
        <v>0</v>
      </c>
      <c r="G42" s="12">
        <v>0</v>
      </c>
    </row>
    <row r="43" spans="1:7" x14ac:dyDescent="0.25">
      <c r="A43" s="4">
        <v>46241</v>
      </c>
      <c r="B43" s="2">
        <f t="shared" si="1"/>
        <v>46241</v>
      </c>
      <c r="C43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W17 (1/8 - 7/8)</v>
      </c>
      <c r="D43" s="3" t="s">
        <v>27</v>
      </c>
      <c r="E43" s="3" t="s">
        <v>21</v>
      </c>
      <c r="F43" s="11">
        <v>0</v>
      </c>
      <c r="G43" s="12">
        <v>0</v>
      </c>
    </row>
    <row r="44" spans="1:7" x14ac:dyDescent="0.25">
      <c r="A44" s="9">
        <v>46242</v>
      </c>
      <c r="B44" s="2">
        <f t="shared" si="1"/>
        <v>46242</v>
      </c>
      <c r="C44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W18 (8/8 - 14/8)</v>
      </c>
      <c r="D44" s="3" t="s">
        <v>27</v>
      </c>
      <c r="E44" s="3" t="s">
        <v>21</v>
      </c>
      <c r="F44" s="11">
        <v>0</v>
      </c>
      <c r="G44" s="12">
        <v>0</v>
      </c>
    </row>
    <row r="45" spans="1:7" x14ac:dyDescent="0.25">
      <c r="A45" s="4">
        <v>46243</v>
      </c>
      <c r="B45" s="2">
        <f t="shared" si="1"/>
        <v>46243</v>
      </c>
      <c r="C45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W18 (8/8 - 14/8)</v>
      </c>
      <c r="D45" s="3" t="s">
        <v>27</v>
      </c>
      <c r="E45" s="3" t="s">
        <v>21</v>
      </c>
      <c r="F45" s="11">
        <v>0</v>
      </c>
      <c r="G45" s="12">
        <v>0</v>
      </c>
    </row>
    <row r="46" spans="1:7" x14ac:dyDescent="0.25">
      <c r="A46" s="9">
        <v>46244</v>
      </c>
      <c r="B46" s="2">
        <f t="shared" si="1"/>
        <v>46244</v>
      </c>
      <c r="C46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W18 (8/8 - 14/8)</v>
      </c>
      <c r="D46" s="3" t="s">
        <v>27</v>
      </c>
      <c r="E46" s="3" t="s">
        <v>21</v>
      </c>
      <c r="F46" s="11">
        <v>0</v>
      </c>
      <c r="G46" s="12">
        <v>0</v>
      </c>
    </row>
    <row r="47" spans="1:7" x14ac:dyDescent="0.25">
      <c r="A47" s="4">
        <v>46245</v>
      </c>
      <c r="B47" s="2">
        <f t="shared" si="1"/>
        <v>46245</v>
      </c>
      <c r="C47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W18 (8/8 - 14/8)</v>
      </c>
      <c r="D47" s="3" t="s">
        <v>27</v>
      </c>
      <c r="E47" s="3" t="s">
        <v>21</v>
      </c>
      <c r="F47" s="11">
        <v>0</v>
      </c>
      <c r="G47" s="12">
        <v>0</v>
      </c>
    </row>
    <row r="48" spans="1:7" x14ac:dyDescent="0.25">
      <c r="A48" s="9">
        <v>46246</v>
      </c>
      <c r="B48" s="2">
        <f t="shared" si="1"/>
        <v>46246</v>
      </c>
      <c r="C48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W18 (8/8 - 14/8)</v>
      </c>
      <c r="D48" s="3" t="s">
        <v>27</v>
      </c>
      <c r="E48" s="3" t="s">
        <v>21</v>
      </c>
      <c r="F48" s="11">
        <v>0</v>
      </c>
      <c r="G48" s="12">
        <v>0</v>
      </c>
    </row>
    <row r="49" spans="1:7" x14ac:dyDescent="0.25">
      <c r="A49" s="4">
        <v>46247</v>
      </c>
      <c r="B49" s="2">
        <f t="shared" si="1"/>
        <v>46247</v>
      </c>
      <c r="C49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W18 (8/8 - 14/8)</v>
      </c>
      <c r="D49" s="3" t="s">
        <v>27</v>
      </c>
      <c r="E49" s="3" t="s">
        <v>21</v>
      </c>
      <c r="F49" s="11">
        <v>0</v>
      </c>
      <c r="G49" s="12">
        <v>0</v>
      </c>
    </row>
    <row r="50" spans="1:7" x14ac:dyDescent="0.25">
      <c r="A50" s="9">
        <v>46248</v>
      </c>
      <c r="B50" s="2">
        <f t="shared" si="1"/>
        <v>46248</v>
      </c>
      <c r="C50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W18 (8/8 - 14/8)</v>
      </c>
      <c r="D50" s="3" t="s">
        <v>27</v>
      </c>
      <c r="E50" s="3" t="s">
        <v>21</v>
      </c>
      <c r="F50" s="11">
        <v>0</v>
      </c>
      <c r="G50" s="12">
        <v>0</v>
      </c>
    </row>
    <row r="51" spans="1:7" x14ac:dyDescent="0.25">
      <c r="A51" s="4">
        <v>46249</v>
      </c>
      <c r="B51" s="2">
        <f t="shared" si="1"/>
        <v>46249</v>
      </c>
      <c r="C51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W19 (15/8 - 21/8)</v>
      </c>
      <c r="D51" s="3" t="s">
        <v>27</v>
      </c>
      <c r="E51" s="3" t="s">
        <v>21</v>
      </c>
      <c r="F51" s="11">
        <v>0</v>
      </c>
      <c r="G51" s="12">
        <v>0</v>
      </c>
    </row>
    <row r="52" spans="1:7" x14ac:dyDescent="0.25">
      <c r="A52" s="9">
        <v>46250</v>
      </c>
      <c r="B52" s="2">
        <f t="shared" si="1"/>
        <v>46250</v>
      </c>
      <c r="C52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W19 (15/8 - 21/8)</v>
      </c>
      <c r="D52" s="3" t="s">
        <v>27</v>
      </c>
      <c r="E52" s="3" t="s">
        <v>21</v>
      </c>
      <c r="F52" s="11">
        <v>0</v>
      </c>
      <c r="G52" s="12">
        <v>0</v>
      </c>
    </row>
    <row r="53" spans="1:7" x14ac:dyDescent="0.25">
      <c r="A53" s="4">
        <v>46251</v>
      </c>
      <c r="B53" s="2">
        <f t="shared" si="1"/>
        <v>46251</v>
      </c>
      <c r="C53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W19 (15/8 - 21/8)</v>
      </c>
      <c r="D53" s="3" t="s">
        <v>27</v>
      </c>
      <c r="E53" s="3" t="s">
        <v>21</v>
      </c>
      <c r="F53" s="11">
        <v>0</v>
      </c>
      <c r="G53" s="12">
        <v>0</v>
      </c>
    </row>
    <row r="54" spans="1:7" x14ac:dyDescent="0.25">
      <c r="A54" s="9">
        <v>46252</v>
      </c>
      <c r="B54" s="2">
        <f t="shared" si="1"/>
        <v>46252</v>
      </c>
      <c r="C54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W19 (15/8 - 21/8)</v>
      </c>
      <c r="D54" s="3" t="s">
        <v>27</v>
      </c>
      <c r="E54" s="3" t="s">
        <v>21</v>
      </c>
      <c r="F54" s="11">
        <v>0</v>
      </c>
      <c r="G54" s="12">
        <v>0</v>
      </c>
    </row>
    <row r="55" spans="1:7" x14ac:dyDescent="0.25">
      <c r="A55" s="4">
        <v>46253</v>
      </c>
      <c r="B55" s="2">
        <f t="shared" si="1"/>
        <v>46253</v>
      </c>
      <c r="C55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W19 (15/8 - 21/8)</v>
      </c>
      <c r="D55" s="3" t="s">
        <v>27</v>
      </c>
      <c r="E55" s="3" t="s">
        <v>21</v>
      </c>
      <c r="F55" s="11">
        <v>0</v>
      </c>
      <c r="G55" s="12">
        <v>0</v>
      </c>
    </row>
    <row r="56" spans="1:7" x14ac:dyDescent="0.25">
      <c r="A56" s="9">
        <v>46254</v>
      </c>
      <c r="B56" s="2">
        <f t="shared" si="1"/>
        <v>46254</v>
      </c>
      <c r="C56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W19 (15/8 - 21/8)</v>
      </c>
      <c r="D56" s="3" t="s">
        <v>27</v>
      </c>
      <c r="E56" s="3" t="s">
        <v>21</v>
      </c>
      <c r="F56" s="11">
        <v>0</v>
      </c>
      <c r="G56" s="12">
        <v>0</v>
      </c>
    </row>
    <row r="57" spans="1:7" x14ac:dyDescent="0.25">
      <c r="A57" s="4">
        <v>46255</v>
      </c>
      <c r="B57" s="2">
        <f t="shared" si="1"/>
        <v>46255</v>
      </c>
      <c r="C57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W19 (15/8 - 21/8)</v>
      </c>
      <c r="D57" s="3" t="s">
        <v>27</v>
      </c>
      <c r="E57" s="3" t="s">
        <v>21</v>
      </c>
      <c r="F57" s="11">
        <v>0</v>
      </c>
      <c r="G57" s="12">
        <v>0</v>
      </c>
    </row>
    <row r="58" spans="1:7" x14ac:dyDescent="0.25">
      <c r="A58" s="9">
        <v>46256</v>
      </c>
      <c r="B58" s="2">
        <f t="shared" si="1"/>
        <v>46256</v>
      </c>
      <c r="C58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W20 (22/8 - 28/8)</v>
      </c>
      <c r="D58" s="3" t="s">
        <v>27</v>
      </c>
      <c r="E58" s="3" t="s">
        <v>21</v>
      </c>
      <c r="F58" s="11">
        <v>0</v>
      </c>
      <c r="G58" s="12">
        <v>0</v>
      </c>
    </row>
    <row r="59" spans="1:7" x14ac:dyDescent="0.25">
      <c r="A59" s="4">
        <v>46257</v>
      </c>
      <c r="B59" s="2">
        <f t="shared" si="1"/>
        <v>46257</v>
      </c>
      <c r="C59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W20 (22/8 - 28/8)</v>
      </c>
      <c r="D59" s="3" t="s">
        <v>27</v>
      </c>
      <c r="E59" s="3" t="s">
        <v>21</v>
      </c>
      <c r="F59" s="11">
        <v>0</v>
      </c>
      <c r="G59" s="12">
        <v>0</v>
      </c>
    </row>
    <row r="60" spans="1:7" x14ac:dyDescent="0.25">
      <c r="A60" s="9">
        <v>46258</v>
      </c>
      <c r="B60" s="2">
        <f t="shared" si="1"/>
        <v>46258</v>
      </c>
      <c r="C60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W20 (22/8 - 28/8)</v>
      </c>
      <c r="D60" s="3" t="s">
        <v>27</v>
      </c>
      <c r="E60" s="3" t="s">
        <v>21</v>
      </c>
      <c r="F60" s="11">
        <v>0</v>
      </c>
      <c r="G60" s="12">
        <v>0</v>
      </c>
    </row>
    <row r="61" spans="1:7" x14ac:dyDescent="0.25">
      <c r="A61" s="4">
        <v>46259</v>
      </c>
      <c r="B61" s="2">
        <f t="shared" si="1"/>
        <v>46259</v>
      </c>
      <c r="C61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W20 (22/8 - 28/8)</v>
      </c>
      <c r="D61" s="3" t="s">
        <v>27</v>
      </c>
      <c r="E61" s="3" t="s">
        <v>21</v>
      </c>
      <c r="F61" s="11">
        <v>0</v>
      </c>
      <c r="G61" s="12">
        <v>0</v>
      </c>
    </row>
    <row r="62" spans="1:7" x14ac:dyDescent="0.25">
      <c r="A62" s="9">
        <v>46260</v>
      </c>
      <c r="B62" s="2">
        <f t="shared" si="1"/>
        <v>46260</v>
      </c>
      <c r="C62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W20 (22/8 - 28/8)</v>
      </c>
      <c r="D62" s="3" t="s">
        <v>27</v>
      </c>
      <c r="E62" s="3" t="s">
        <v>21</v>
      </c>
      <c r="F62" s="11">
        <v>4</v>
      </c>
      <c r="G62" s="12">
        <v>32</v>
      </c>
    </row>
    <row r="63" spans="1:7" x14ac:dyDescent="0.25">
      <c r="A63" s="4">
        <v>46261</v>
      </c>
      <c r="B63" s="2">
        <f t="shared" si="1"/>
        <v>46261</v>
      </c>
      <c r="C63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W20 (22/8 - 28/8)</v>
      </c>
      <c r="D63" s="3" t="s">
        <v>27</v>
      </c>
      <c r="E63" s="3" t="s">
        <v>21</v>
      </c>
      <c r="F63" s="11">
        <v>0</v>
      </c>
      <c r="G63" s="12">
        <v>0</v>
      </c>
    </row>
    <row r="64" spans="1:7" x14ac:dyDescent="0.25">
      <c r="A64" s="9">
        <v>46262</v>
      </c>
      <c r="B64" s="2">
        <f t="shared" si="1"/>
        <v>46262</v>
      </c>
      <c r="C64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W20 (22/8 - 28/8)</v>
      </c>
      <c r="D64" s="3" t="s">
        <v>27</v>
      </c>
      <c r="E64" s="3" t="s">
        <v>21</v>
      </c>
      <c r="F64" s="11">
        <v>0</v>
      </c>
      <c r="G64" s="12">
        <v>0</v>
      </c>
    </row>
    <row r="65" spans="1:7" x14ac:dyDescent="0.25">
      <c r="A65" s="4">
        <v>46263</v>
      </c>
      <c r="B65" s="2">
        <f t="shared" si="1"/>
        <v>46263</v>
      </c>
      <c r="C65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W21 (29/8 - 4/9)</v>
      </c>
      <c r="D65" s="3" t="s">
        <v>27</v>
      </c>
      <c r="E65" s="3" t="s">
        <v>21</v>
      </c>
      <c r="F65" s="11">
        <v>0</v>
      </c>
      <c r="G65" s="12">
        <v>0</v>
      </c>
    </row>
    <row r="66" spans="1:7" x14ac:dyDescent="0.25">
      <c r="A66" s="9">
        <v>46264</v>
      </c>
      <c r="B66" s="2">
        <f t="shared" si="1"/>
        <v>46264</v>
      </c>
      <c r="C66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W21 (29/8 - 4/9)</v>
      </c>
      <c r="D66" s="3" t="s">
        <v>27</v>
      </c>
      <c r="E66" s="3" t="s">
        <v>21</v>
      </c>
      <c r="F66" s="11">
        <v>0</v>
      </c>
      <c r="G66" s="12">
        <v>0</v>
      </c>
    </row>
    <row r="67" spans="1:7" x14ac:dyDescent="0.25">
      <c r="A67" s="4">
        <v>46265</v>
      </c>
      <c r="B67" s="2">
        <f t="shared" si="1"/>
        <v>46265</v>
      </c>
      <c r="C67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W21 (29/8 - 4/9)</v>
      </c>
      <c r="D67" s="3" t="s">
        <v>27</v>
      </c>
      <c r="E67" s="3" t="s">
        <v>21</v>
      </c>
      <c r="F67" s="11">
        <v>0</v>
      </c>
      <c r="G67" s="12">
        <v>0</v>
      </c>
    </row>
    <row r="68" spans="1:7" x14ac:dyDescent="0.25">
      <c r="A68" s="9">
        <v>46266</v>
      </c>
      <c r="B68" s="2">
        <f t="shared" si="1"/>
        <v>46266</v>
      </c>
      <c r="C68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W21 (29/8 - 4/9)</v>
      </c>
      <c r="D68" s="3" t="s">
        <v>27</v>
      </c>
      <c r="E68" s="3" t="s">
        <v>21</v>
      </c>
      <c r="F68" s="11">
        <v>0</v>
      </c>
      <c r="G68" s="12">
        <v>0</v>
      </c>
    </row>
    <row r="69" spans="1:7" x14ac:dyDescent="0.25">
      <c r="A69" s="4">
        <v>46267</v>
      </c>
      <c r="B69" s="2">
        <f t="shared" si="1"/>
        <v>46267</v>
      </c>
      <c r="C69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W21 (29/8 - 4/9)</v>
      </c>
      <c r="D69" s="3" t="s">
        <v>27</v>
      </c>
      <c r="E69" s="3" t="s">
        <v>21</v>
      </c>
      <c r="F69" s="11">
        <v>0</v>
      </c>
      <c r="G69" s="12">
        <v>0</v>
      </c>
    </row>
    <row r="70" spans="1:7" x14ac:dyDescent="0.25">
      <c r="A70" s="9">
        <v>46268</v>
      </c>
      <c r="B70" s="2">
        <f t="shared" ref="B70:B101" si="2">A70</f>
        <v>46268</v>
      </c>
      <c r="C70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W21 (29/8 - 4/9)</v>
      </c>
      <c r="D70" s="3" t="s">
        <v>27</v>
      </c>
      <c r="E70" s="3" t="s">
        <v>21</v>
      </c>
      <c r="F70" s="11">
        <v>0</v>
      </c>
      <c r="G70" s="12">
        <v>0</v>
      </c>
    </row>
    <row r="71" spans="1:7" x14ac:dyDescent="0.25">
      <c r="A71" s="4">
        <v>46269</v>
      </c>
      <c r="B71" s="2">
        <f t="shared" si="2"/>
        <v>46269</v>
      </c>
      <c r="C71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W21 (29/8 - 4/9)</v>
      </c>
      <c r="D71" s="3" t="s">
        <v>27</v>
      </c>
      <c r="E71" s="3" t="s">
        <v>21</v>
      </c>
      <c r="F71" s="11">
        <v>0</v>
      </c>
      <c r="G71" s="12">
        <v>0</v>
      </c>
    </row>
    <row r="72" spans="1:7" x14ac:dyDescent="0.25">
      <c r="A72" s="9">
        <v>46270</v>
      </c>
      <c r="B72" s="2">
        <f t="shared" si="2"/>
        <v>46270</v>
      </c>
      <c r="C72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W22 (5/9 - 11/9)</v>
      </c>
      <c r="D72" s="3" t="s">
        <v>27</v>
      </c>
      <c r="E72" s="3" t="s">
        <v>21</v>
      </c>
      <c r="F72" s="11">
        <v>0</v>
      </c>
      <c r="G72" s="12">
        <v>0</v>
      </c>
    </row>
    <row r="73" spans="1:7" x14ac:dyDescent="0.25">
      <c r="A73" s="4">
        <v>46271</v>
      </c>
      <c r="B73" s="2">
        <f t="shared" si="2"/>
        <v>46271</v>
      </c>
      <c r="C73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W22 (5/9 - 11/9)</v>
      </c>
      <c r="D73" s="3" t="s">
        <v>27</v>
      </c>
      <c r="E73" s="3" t="s">
        <v>21</v>
      </c>
      <c r="F73" s="11">
        <v>0</v>
      </c>
      <c r="G73" s="12">
        <v>0</v>
      </c>
    </row>
    <row r="74" spans="1:7" x14ac:dyDescent="0.25">
      <c r="A74" s="9">
        <v>46272</v>
      </c>
      <c r="B74" s="2">
        <f t="shared" si="2"/>
        <v>46272</v>
      </c>
      <c r="C74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W22 (5/9 - 11/9)</v>
      </c>
      <c r="D74" s="3" t="s">
        <v>27</v>
      </c>
      <c r="E74" s="3" t="s">
        <v>21</v>
      </c>
      <c r="F74" s="11">
        <v>0</v>
      </c>
      <c r="G74" s="12">
        <v>0</v>
      </c>
    </row>
    <row r="75" spans="1:7" x14ac:dyDescent="0.25">
      <c r="A75" s="4">
        <v>46273</v>
      </c>
      <c r="B75" s="2">
        <f t="shared" si="2"/>
        <v>46273</v>
      </c>
      <c r="C75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W22 (5/9 - 11/9)</v>
      </c>
      <c r="D75" s="3" t="s">
        <v>27</v>
      </c>
      <c r="E75" s="3" t="s">
        <v>21</v>
      </c>
      <c r="F75" s="11">
        <v>0</v>
      </c>
      <c r="G75" s="12">
        <v>0</v>
      </c>
    </row>
    <row r="76" spans="1:7" x14ac:dyDescent="0.25">
      <c r="A76" s="9">
        <v>46274</v>
      </c>
      <c r="B76" s="2">
        <f t="shared" si="2"/>
        <v>46274</v>
      </c>
      <c r="C76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W22 (5/9 - 11/9)</v>
      </c>
      <c r="D76" s="3" t="s">
        <v>27</v>
      </c>
      <c r="E76" s="3" t="s">
        <v>21</v>
      </c>
      <c r="F76" s="11">
        <v>0</v>
      </c>
      <c r="G76" s="12">
        <v>0</v>
      </c>
    </row>
    <row r="77" spans="1:7" x14ac:dyDescent="0.25">
      <c r="A77" s="4">
        <v>46275</v>
      </c>
      <c r="B77" s="2">
        <f t="shared" si="2"/>
        <v>46275</v>
      </c>
      <c r="C77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W22 (5/9 - 11/9)</v>
      </c>
      <c r="D77" s="3" t="s">
        <v>27</v>
      </c>
      <c r="E77" s="3" t="s">
        <v>21</v>
      </c>
      <c r="F77" s="11">
        <v>0</v>
      </c>
      <c r="G77" s="12">
        <v>0</v>
      </c>
    </row>
    <row r="78" spans="1:7" x14ac:dyDescent="0.25">
      <c r="A78" s="9">
        <v>46276</v>
      </c>
      <c r="B78" s="2">
        <f t="shared" si="2"/>
        <v>46276</v>
      </c>
      <c r="C78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W22 (5/9 - 11/9)</v>
      </c>
      <c r="D78" s="3" t="s">
        <v>27</v>
      </c>
      <c r="E78" s="3" t="s">
        <v>21</v>
      </c>
      <c r="F78" s="11">
        <v>0</v>
      </c>
      <c r="G78" s="12">
        <v>0</v>
      </c>
    </row>
    <row r="79" spans="1:7" x14ac:dyDescent="0.25">
      <c r="A79" s="4">
        <v>46277</v>
      </c>
      <c r="B79" s="2">
        <f t="shared" si="2"/>
        <v>46277</v>
      </c>
      <c r="C79" s="3" t="str">
        <f>IF(JK_HIDRO[[#This Row],[DATE]]&lt;DATE(2026,4,11),"0",_xlfn.LET(
_xlpm.W,INT((JK_HIDRO[[#This Row],[DATE]]-DATE(2026,4,11))/7)+1,
_xlpm.S,DATE(2026,4,11)+(_xlpm.W-1)*7,
_xlpm.E,_xlpm.S+6,
"W"&amp;TEXT(_xlpm.W,"00")&amp;" ("&amp;TEXT(_xlpm.S,"d/m")&amp;" - "&amp;TEXT(_xlpm.E,"d/m")&amp;")"
))</f>
        <v>W23 (12/9 - 18/9)</v>
      </c>
      <c r="D79" s="3" t="s">
        <v>27</v>
      </c>
      <c r="E79" s="3" t="s">
        <v>21</v>
      </c>
      <c r="F79" s="11">
        <v>0</v>
      </c>
      <c r="G79" s="12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5:G99"/>
  <sheetViews>
    <sheetView topLeftCell="A65" zoomScale="115" zoomScaleNormal="115" workbookViewId="0">
      <selection activeCell="J96" sqref="J96"/>
    </sheetView>
  </sheetViews>
  <sheetFormatPr defaultColWidth="8.85546875" defaultRowHeight="12.75" x14ac:dyDescent="0.25"/>
  <cols>
    <col min="1" max="1" width="18.7109375" style="1" customWidth="1"/>
    <col min="2" max="2" width="13.7109375" style="1" customWidth="1"/>
    <col min="3" max="3" width="17.85546875" style="1" bestFit="1" customWidth="1"/>
    <col min="4" max="7" width="21.85546875" style="1" customWidth="1"/>
    <col min="8" max="8" width="8.85546875" style="1" customWidth="1"/>
    <col min="9" max="16384" width="8.85546875" style="1"/>
  </cols>
  <sheetData>
    <row r="5" spans="1:7" x14ac:dyDescent="0.25">
      <c r="A5" s="6" t="s">
        <v>0</v>
      </c>
      <c r="B5" s="7" t="s">
        <v>1</v>
      </c>
      <c r="C5" s="7" t="s">
        <v>2</v>
      </c>
      <c r="D5" s="7" t="s">
        <v>12</v>
      </c>
      <c r="E5" s="7" t="s">
        <v>13</v>
      </c>
      <c r="F5" s="7" t="s">
        <v>14</v>
      </c>
      <c r="G5" s="8" t="s">
        <v>15</v>
      </c>
    </row>
    <row r="6" spans="1:7" x14ac:dyDescent="0.25">
      <c r="A6" s="4">
        <v>46204</v>
      </c>
      <c r="B6" s="2">
        <f t="shared" ref="B6:B37" si="0">A6</f>
        <v>46204</v>
      </c>
      <c r="C6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W12 (27/6 - 3/7)</v>
      </c>
      <c r="D6" s="3" t="s">
        <v>28</v>
      </c>
      <c r="E6" s="3" t="s">
        <v>21</v>
      </c>
      <c r="F6" s="3">
        <v>4</v>
      </c>
      <c r="G6" s="5">
        <v>48</v>
      </c>
    </row>
    <row r="7" spans="1:7" x14ac:dyDescent="0.25">
      <c r="A7" s="4">
        <v>46205</v>
      </c>
      <c r="B7" s="2">
        <f t="shared" si="0"/>
        <v>46205</v>
      </c>
      <c r="C7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W12 (27/6 - 3/7)</v>
      </c>
      <c r="D7" s="3" t="s">
        <v>28</v>
      </c>
      <c r="E7" s="3" t="s">
        <v>21</v>
      </c>
      <c r="F7" s="3">
        <v>4</v>
      </c>
      <c r="G7" s="5">
        <v>48</v>
      </c>
    </row>
    <row r="8" spans="1:7" x14ac:dyDescent="0.25">
      <c r="A8" s="4">
        <v>46206</v>
      </c>
      <c r="B8" s="2">
        <f t="shared" si="0"/>
        <v>46206</v>
      </c>
      <c r="C8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W12 (27/6 - 3/7)</v>
      </c>
      <c r="D8" s="3" t="s">
        <v>28</v>
      </c>
      <c r="E8" s="3" t="s">
        <v>21</v>
      </c>
      <c r="F8" s="3">
        <v>4</v>
      </c>
      <c r="G8" s="5">
        <v>48</v>
      </c>
    </row>
    <row r="9" spans="1:7" x14ac:dyDescent="0.25">
      <c r="A9" s="4">
        <v>46207</v>
      </c>
      <c r="B9" s="2">
        <f t="shared" si="0"/>
        <v>46207</v>
      </c>
      <c r="C9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W13 (4/7 - 10/7)</v>
      </c>
      <c r="D9" s="3" t="s">
        <v>28</v>
      </c>
      <c r="E9" s="3" t="s">
        <v>21</v>
      </c>
      <c r="F9" s="3">
        <v>4</v>
      </c>
      <c r="G9" s="5">
        <v>48</v>
      </c>
    </row>
    <row r="10" spans="1:7" x14ac:dyDescent="0.25">
      <c r="A10" s="4">
        <v>46208</v>
      </c>
      <c r="B10" s="2">
        <f t="shared" si="0"/>
        <v>46208</v>
      </c>
      <c r="C10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W13 (4/7 - 10/7)</v>
      </c>
      <c r="D10" s="3" t="s">
        <v>28</v>
      </c>
      <c r="E10" s="3" t="s">
        <v>21</v>
      </c>
      <c r="F10" s="3">
        <v>0</v>
      </c>
      <c r="G10" s="5">
        <v>0</v>
      </c>
    </row>
    <row r="11" spans="1:7" x14ac:dyDescent="0.25">
      <c r="A11" s="4">
        <v>46209</v>
      </c>
      <c r="B11" s="2">
        <f t="shared" si="0"/>
        <v>46209</v>
      </c>
      <c r="C11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W13 (4/7 - 10/7)</v>
      </c>
      <c r="D11" s="3" t="s">
        <v>28</v>
      </c>
      <c r="E11" s="3" t="s">
        <v>21</v>
      </c>
      <c r="F11" s="3">
        <v>4</v>
      </c>
      <c r="G11" s="5">
        <v>48</v>
      </c>
    </row>
    <row r="12" spans="1:7" x14ac:dyDescent="0.25">
      <c r="A12" s="4">
        <v>46210</v>
      </c>
      <c r="B12" s="2">
        <f t="shared" si="0"/>
        <v>46210</v>
      </c>
      <c r="C12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W13 (4/7 - 10/7)</v>
      </c>
      <c r="D12" s="3" t="s">
        <v>28</v>
      </c>
      <c r="E12" s="3" t="s">
        <v>21</v>
      </c>
      <c r="F12" s="3">
        <v>4</v>
      </c>
      <c r="G12" s="5">
        <v>48</v>
      </c>
    </row>
    <row r="13" spans="1:7" x14ac:dyDescent="0.25">
      <c r="A13" s="4">
        <v>46211</v>
      </c>
      <c r="B13" s="2">
        <f t="shared" si="0"/>
        <v>46211</v>
      </c>
      <c r="C13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W13 (4/7 - 10/7)</v>
      </c>
      <c r="D13" s="3" t="s">
        <v>28</v>
      </c>
      <c r="E13" s="3" t="s">
        <v>21</v>
      </c>
      <c r="F13" s="3">
        <v>4</v>
      </c>
      <c r="G13" s="5">
        <v>48</v>
      </c>
    </row>
    <row r="14" spans="1:7" x14ac:dyDescent="0.25">
      <c r="A14" s="4">
        <v>46212</v>
      </c>
      <c r="B14" s="2">
        <f t="shared" si="0"/>
        <v>46212</v>
      </c>
      <c r="C14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W13 (4/7 - 10/7)</v>
      </c>
      <c r="D14" s="3" t="s">
        <v>28</v>
      </c>
      <c r="E14" s="3" t="s">
        <v>21</v>
      </c>
      <c r="F14" s="3">
        <v>4</v>
      </c>
      <c r="G14" s="5">
        <v>48</v>
      </c>
    </row>
    <row r="15" spans="1:7" x14ac:dyDescent="0.25">
      <c r="A15" s="4">
        <v>46213</v>
      </c>
      <c r="B15" s="2">
        <f t="shared" si="0"/>
        <v>46213</v>
      </c>
      <c r="C15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W13 (4/7 - 10/7)</v>
      </c>
      <c r="D15" s="3" t="s">
        <v>28</v>
      </c>
      <c r="E15" s="3" t="s">
        <v>21</v>
      </c>
      <c r="F15" s="3">
        <v>4</v>
      </c>
      <c r="G15" s="5">
        <v>48</v>
      </c>
    </row>
    <row r="16" spans="1:7" x14ac:dyDescent="0.25">
      <c r="A16" s="4">
        <v>46214</v>
      </c>
      <c r="B16" s="2">
        <f t="shared" si="0"/>
        <v>46214</v>
      </c>
      <c r="C16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W14 (11/7 - 17/7)</v>
      </c>
      <c r="D16" s="3" t="s">
        <v>28</v>
      </c>
      <c r="E16" s="3" t="s">
        <v>21</v>
      </c>
      <c r="F16" s="3">
        <v>4</v>
      </c>
      <c r="G16" s="5">
        <v>48</v>
      </c>
    </row>
    <row r="17" spans="1:7" x14ac:dyDescent="0.25">
      <c r="A17" s="4">
        <v>46215</v>
      </c>
      <c r="B17" s="2">
        <f t="shared" si="0"/>
        <v>46215</v>
      </c>
      <c r="C17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W14 (11/7 - 17/7)</v>
      </c>
      <c r="D17" s="3" t="s">
        <v>28</v>
      </c>
      <c r="E17" s="3" t="s">
        <v>21</v>
      </c>
      <c r="F17" s="3">
        <v>4</v>
      </c>
      <c r="G17" s="5">
        <v>48</v>
      </c>
    </row>
    <row r="18" spans="1:7" x14ac:dyDescent="0.25">
      <c r="A18" s="4">
        <v>46216</v>
      </c>
      <c r="B18" s="2">
        <f t="shared" si="0"/>
        <v>46216</v>
      </c>
      <c r="C18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W14 (11/7 - 17/7)</v>
      </c>
      <c r="D18" s="3" t="s">
        <v>28</v>
      </c>
      <c r="E18" s="3" t="s">
        <v>21</v>
      </c>
      <c r="F18" s="3">
        <v>4</v>
      </c>
      <c r="G18" s="5">
        <v>48</v>
      </c>
    </row>
    <row r="19" spans="1:7" x14ac:dyDescent="0.25">
      <c r="A19" s="4">
        <v>46217</v>
      </c>
      <c r="B19" s="2">
        <f t="shared" si="0"/>
        <v>46217</v>
      </c>
      <c r="C19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W14 (11/7 - 17/7)</v>
      </c>
      <c r="D19" s="3" t="s">
        <v>28</v>
      </c>
      <c r="E19" s="3" t="s">
        <v>21</v>
      </c>
      <c r="F19" s="3">
        <v>4</v>
      </c>
      <c r="G19" s="5">
        <v>48</v>
      </c>
    </row>
    <row r="20" spans="1:7" x14ac:dyDescent="0.25">
      <c r="A20" s="4">
        <v>46218</v>
      </c>
      <c r="B20" s="2">
        <f t="shared" si="0"/>
        <v>46218</v>
      </c>
      <c r="C20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W14 (11/7 - 17/7)</v>
      </c>
      <c r="D20" s="3" t="s">
        <v>28</v>
      </c>
      <c r="E20" s="3" t="s">
        <v>21</v>
      </c>
      <c r="F20" s="3">
        <v>4</v>
      </c>
      <c r="G20" s="5">
        <v>48</v>
      </c>
    </row>
    <row r="21" spans="1:7" x14ac:dyDescent="0.25">
      <c r="A21" s="4">
        <v>46219</v>
      </c>
      <c r="B21" s="2">
        <f t="shared" si="0"/>
        <v>46219</v>
      </c>
      <c r="C21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W14 (11/7 - 17/7)</v>
      </c>
      <c r="D21" s="3" t="s">
        <v>28</v>
      </c>
      <c r="E21" s="3" t="s">
        <v>21</v>
      </c>
      <c r="F21" s="3">
        <v>4</v>
      </c>
      <c r="G21" s="5">
        <v>48</v>
      </c>
    </row>
    <row r="22" spans="1:7" x14ac:dyDescent="0.25">
      <c r="A22" s="4">
        <v>46220</v>
      </c>
      <c r="B22" s="2">
        <f t="shared" si="0"/>
        <v>46220</v>
      </c>
      <c r="C22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W14 (11/7 - 17/7)</v>
      </c>
      <c r="D22" s="3" t="s">
        <v>28</v>
      </c>
      <c r="E22" s="3" t="s">
        <v>21</v>
      </c>
      <c r="F22" s="3">
        <v>4</v>
      </c>
      <c r="G22" s="5">
        <v>48</v>
      </c>
    </row>
    <row r="23" spans="1:7" x14ac:dyDescent="0.25">
      <c r="A23" s="4">
        <v>46221</v>
      </c>
      <c r="B23" s="2">
        <f t="shared" si="0"/>
        <v>46221</v>
      </c>
      <c r="C23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W15 (18/7 - 24/7)</v>
      </c>
      <c r="D23" s="3" t="s">
        <v>28</v>
      </c>
      <c r="E23" s="3" t="s">
        <v>21</v>
      </c>
      <c r="F23" s="3">
        <v>4</v>
      </c>
      <c r="G23" s="5">
        <v>48</v>
      </c>
    </row>
    <row r="24" spans="1:7" x14ac:dyDescent="0.25">
      <c r="A24" s="4">
        <v>46222</v>
      </c>
      <c r="B24" s="2">
        <f t="shared" si="0"/>
        <v>46222</v>
      </c>
      <c r="C24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W15 (18/7 - 24/7)</v>
      </c>
      <c r="D24" s="3" t="s">
        <v>28</v>
      </c>
      <c r="E24" s="3" t="s">
        <v>21</v>
      </c>
      <c r="F24" s="3">
        <v>4</v>
      </c>
      <c r="G24" s="5">
        <v>48</v>
      </c>
    </row>
    <row r="25" spans="1:7" x14ac:dyDescent="0.25">
      <c r="A25" s="4">
        <v>46223</v>
      </c>
      <c r="B25" s="2">
        <f t="shared" si="0"/>
        <v>46223</v>
      </c>
      <c r="C25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W15 (18/7 - 24/7)</v>
      </c>
      <c r="D25" s="3" t="s">
        <v>28</v>
      </c>
      <c r="E25" s="3" t="s">
        <v>21</v>
      </c>
      <c r="F25" s="3">
        <v>4</v>
      </c>
      <c r="G25" s="5">
        <v>48</v>
      </c>
    </row>
    <row r="26" spans="1:7" x14ac:dyDescent="0.25">
      <c r="A26" s="4">
        <v>46224</v>
      </c>
      <c r="B26" s="2">
        <f t="shared" si="0"/>
        <v>46224</v>
      </c>
      <c r="C26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W15 (18/7 - 24/7)</v>
      </c>
      <c r="D26" s="3" t="s">
        <v>28</v>
      </c>
      <c r="E26" s="3" t="s">
        <v>21</v>
      </c>
      <c r="F26" s="3">
        <v>4</v>
      </c>
      <c r="G26" s="5">
        <v>48</v>
      </c>
    </row>
    <row r="27" spans="1:7" x14ac:dyDescent="0.25">
      <c r="A27" s="4">
        <v>46225</v>
      </c>
      <c r="B27" s="2">
        <f t="shared" si="0"/>
        <v>46225</v>
      </c>
      <c r="C27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W15 (18/7 - 24/7)</v>
      </c>
      <c r="D27" s="3" t="s">
        <v>28</v>
      </c>
      <c r="E27" s="3" t="s">
        <v>21</v>
      </c>
      <c r="F27" s="3">
        <v>4</v>
      </c>
      <c r="G27" s="5">
        <v>48</v>
      </c>
    </row>
    <row r="28" spans="1:7" x14ac:dyDescent="0.25">
      <c r="A28" s="4">
        <v>46226</v>
      </c>
      <c r="B28" s="2">
        <f t="shared" si="0"/>
        <v>46226</v>
      </c>
      <c r="C28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W15 (18/7 - 24/7)</v>
      </c>
      <c r="D28" s="3" t="s">
        <v>28</v>
      </c>
      <c r="E28" s="3" t="s">
        <v>21</v>
      </c>
      <c r="F28" s="3">
        <v>4</v>
      </c>
      <c r="G28" s="5">
        <v>48</v>
      </c>
    </row>
    <row r="29" spans="1:7" x14ac:dyDescent="0.25">
      <c r="A29" s="4">
        <v>46227</v>
      </c>
      <c r="B29" s="2">
        <f t="shared" si="0"/>
        <v>46227</v>
      </c>
      <c r="C29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W15 (18/7 - 24/7)</v>
      </c>
      <c r="D29" s="3" t="s">
        <v>28</v>
      </c>
      <c r="E29" s="3" t="s">
        <v>21</v>
      </c>
      <c r="F29" s="3">
        <v>4</v>
      </c>
      <c r="G29" s="5">
        <v>48</v>
      </c>
    </row>
    <row r="30" spans="1:7" x14ac:dyDescent="0.25">
      <c r="A30" s="4">
        <v>46228</v>
      </c>
      <c r="B30" s="2">
        <f t="shared" si="0"/>
        <v>46228</v>
      </c>
      <c r="C30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W16 (25/7 - 31/7)</v>
      </c>
      <c r="D30" s="3" t="s">
        <v>28</v>
      </c>
      <c r="E30" s="3" t="s">
        <v>21</v>
      </c>
      <c r="F30" s="3">
        <v>4</v>
      </c>
      <c r="G30" s="5">
        <v>48</v>
      </c>
    </row>
    <row r="31" spans="1:7" x14ac:dyDescent="0.25">
      <c r="A31" s="4">
        <v>46229</v>
      </c>
      <c r="B31" s="2">
        <f t="shared" si="0"/>
        <v>46229</v>
      </c>
      <c r="C31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W16 (25/7 - 31/7)</v>
      </c>
      <c r="D31" s="3" t="s">
        <v>28</v>
      </c>
      <c r="E31" s="3" t="s">
        <v>21</v>
      </c>
      <c r="F31" s="3">
        <v>4</v>
      </c>
      <c r="G31" s="5">
        <v>48</v>
      </c>
    </row>
    <row r="32" spans="1:7" x14ac:dyDescent="0.25">
      <c r="A32" s="4">
        <v>46230</v>
      </c>
      <c r="B32" s="2">
        <f t="shared" si="0"/>
        <v>46230</v>
      </c>
      <c r="C32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W16 (25/7 - 31/7)</v>
      </c>
      <c r="D32" s="3" t="s">
        <v>28</v>
      </c>
      <c r="E32" s="3" t="s">
        <v>21</v>
      </c>
      <c r="F32" s="3">
        <v>4</v>
      </c>
      <c r="G32" s="5">
        <v>48</v>
      </c>
    </row>
    <row r="33" spans="1:7" x14ac:dyDescent="0.25">
      <c r="A33" s="4">
        <v>46231</v>
      </c>
      <c r="B33" s="2">
        <f t="shared" si="0"/>
        <v>46231</v>
      </c>
      <c r="C33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W16 (25/7 - 31/7)</v>
      </c>
      <c r="D33" s="3" t="s">
        <v>28</v>
      </c>
      <c r="E33" s="3" t="s">
        <v>21</v>
      </c>
      <c r="F33" s="3">
        <v>4</v>
      </c>
      <c r="G33" s="5">
        <v>48</v>
      </c>
    </row>
    <row r="34" spans="1:7" x14ac:dyDescent="0.25">
      <c r="A34" s="4">
        <v>46232</v>
      </c>
      <c r="B34" s="2">
        <f t="shared" si="0"/>
        <v>46232</v>
      </c>
      <c r="C34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W16 (25/7 - 31/7)</v>
      </c>
      <c r="D34" s="3" t="s">
        <v>28</v>
      </c>
      <c r="E34" s="3" t="s">
        <v>21</v>
      </c>
      <c r="F34" s="3">
        <v>4</v>
      </c>
      <c r="G34" s="5">
        <v>48</v>
      </c>
    </row>
    <row r="35" spans="1:7" x14ac:dyDescent="0.25">
      <c r="A35" s="4">
        <v>46233</v>
      </c>
      <c r="B35" s="2">
        <f t="shared" si="0"/>
        <v>46233</v>
      </c>
      <c r="C35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W16 (25/7 - 31/7)</v>
      </c>
      <c r="D35" s="3" t="s">
        <v>28</v>
      </c>
      <c r="E35" s="3" t="s">
        <v>21</v>
      </c>
      <c r="F35" s="3">
        <v>4</v>
      </c>
      <c r="G35" s="5">
        <v>48</v>
      </c>
    </row>
    <row r="36" spans="1:7" x14ac:dyDescent="0.25">
      <c r="A36" s="9">
        <v>46234</v>
      </c>
      <c r="B36" s="10">
        <f t="shared" si="0"/>
        <v>46234</v>
      </c>
      <c r="C36" s="11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W16 (25/7 - 31/7)</v>
      </c>
      <c r="D36" s="3" t="s">
        <v>28</v>
      </c>
      <c r="E36" s="3" t="s">
        <v>21</v>
      </c>
      <c r="F36" s="3">
        <v>4</v>
      </c>
      <c r="G36" s="5">
        <v>48</v>
      </c>
    </row>
    <row r="37" spans="1:7" x14ac:dyDescent="0.25">
      <c r="A37" s="4">
        <v>46235</v>
      </c>
      <c r="B37" s="2">
        <f t="shared" si="0"/>
        <v>46235</v>
      </c>
      <c r="C37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W17 (1/8 - 7/8)</v>
      </c>
      <c r="D37" s="3" t="s">
        <v>28</v>
      </c>
      <c r="E37" s="3" t="s">
        <v>21</v>
      </c>
      <c r="F37" s="3">
        <v>4</v>
      </c>
      <c r="G37" s="5">
        <v>48</v>
      </c>
    </row>
    <row r="38" spans="1:7" x14ac:dyDescent="0.25">
      <c r="A38" s="4">
        <v>46236</v>
      </c>
      <c r="B38" s="2">
        <f t="shared" ref="B38:B69" si="1">A38</f>
        <v>46236</v>
      </c>
      <c r="C38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W17 (1/8 - 7/8)</v>
      </c>
      <c r="D38" s="3" t="s">
        <v>28</v>
      </c>
      <c r="E38" s="3" t="s">
        <v>21</v>
      </c>
      <c r="F38" s="3">
        <v>4</v>
      </c>
      <c r="G38" s="5">
        <v>48</v>
      </c>
    </row>
    <row r="39" spans="1:7" x14ac:dyDescent="0.25">
      <c r="A39" s="9">
        <v>46237</v>
      </c>
      <c r="B39" s="2">
        <f t="shared" si="1"/>
        <v>46237</v>
      </c>
      <c r="C39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W17 (1/8 - 7/8)</v>
      </c>
      <c r="D39" s="3" t="s">
        <v>28</v>
      </c>
      <c r="E39" s="3" t="s">
        <v>21</v>
      </c>
      <c r="F39" s="3">
        <v>4</v>
      </c>
      <c r="G39" s="5">
        <v>48</v>
      </c>
    </row>
    <row r="40" spans="1:7" x14ac:dyDescent="0.25">
      <c r="A40" s="4">
        <v>46238</v>
      </c>
      <c r="B40" s="2">
        <f t="shared" si="1"/>
        <v>46238</v>
      </c>
      <c r="C40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W17 (1/8 - 7/8)</v>
      </c>
      <c r="D40" s="3" t="s">
        <v>28</v>
      </c>
      <c r="E40" s="3" t="s">
        <v>21</v>
      </c>
      <c r="F40" s="3">
        <v>4</v>
      </c>
      <c r="G40" s="5">
        <v>48</v>
      </c>
    </row>
    <row r="41" spans="1:7" x14ac:dyDescent="0.25">
      <c r="A41" s="9">
        <v>46239</v>
      </c>
      <c r="B41" s="2">
        <f t="shared" si="1"/>
        <v>46239</v>
      </c>
      <c r="C41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W17 (1/8 - 7/8)</v>
      </c>
      <c r="D41" s="3" t="s">
        <v>28</v>
      </c>
      <c r="E41" s="3" t="s">
        <v>21</v>
      </c>
      <c r="F41" s="3">
        <v>4</v>
      </c>
      <c r="G41" s="5">
        <v>48</v>
      </c>
    </row>
    <row r="42" spans="1:7" x14ac:dyDescent="0.25">
      <c r="A42" s="4">
        <v>46240</v>
      </c>
      <c r="B42" s="2">
        <f t="shared" si="1"/>
        <v>46240</v>
      </c>
      <c r="C42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W17 (1/8 - 7/8)</v>
      </c>
      <c r="D42" s="3" t="s">
        <v>28</v>
      </c>
      <c r="E42" s="3" t="s">
        <v>21</v>
      </c>
      <c r="F42" s="3">
        <v>4</v>
      </c>
      <c r="G42" s="5">
        <v>48</v>
      </c>
    </row>
    <row r="43" spans="1:7" x14ac:dyDescent="0.25">
      <c r="A43" s="9">
        <v>46241</v>
      </c>
      <c r="B43" s="2">
        <f t="shared" si="1"/>
        <v>46241</v>
      </c>
      <c r="C43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W17 (1/8 - 7/8)</v>
      </c>
      <c r="D43" s="3" t="s">
        <v>28</v>
      </c>
      <c r="E43" s="3" t="s">
        <v>21</v>
      </c>
      <c r="F43" s="3">
        <v>4</v>
      </c>
      <c r="G43" s="5">
        <v>48</v>
      </c>
    </row>
    <row r="44" spans="1:7" x14ac:dyDescent="0.25">
      <c r="A44" s="4">
        <v>46242</v>
      </c>
      <c r="B44" s="2">
        <f t="shared" si="1"/>
        <v>46242</v>
      </c>
      <c r="C44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W18 (8/8 - 14/8)</v>
      </c>
      <c r="D44" s="3" t="s">
        <v>28</v>
      </c>
      <c r="E44" s="3" t="s">
        <v>21</v>
      </c>
      <c r="F44" s="3">
        <v>4</v>
      </c>
      <c r="G44" s="5">
        <v>48</v>
      </c>
    </row>
    <row r="45" spans="1:7" x14ac:dyDescent="0.25">
      <c r="A45" s="9">
        <v>46243</v>
      </c>
      <c r="B45" s="2">
        <f t="shared" si="1"/>
        <v>46243</v>
      </c>
      <c r="C45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W18 (8/8 - 14/8)</v>
      </c>
      <c r="D45" s="3" t="s">
        <v>28</v>
      </c>
      <c r="E45" s="3" t="s">
        <v>21</v>
      </c>
      <c r="F45" s="3">
        <v>4</v>
      </c>
      <c r="G45" s="5">
        <v>48</v>
      </c>
    </row>
    <row r="46" spans="1:7" x14ac:dyDescent="0.25">
      <c r="A46" s="4">
        <v>46244</v>
      </c>
      <c r="B46" s="2">
        <f t="shared" si="1"/>
        <v>46244</v>
      </c>
      <c r="C46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W18 (8/8 - 14/8)</v>
      </c>
      <c r="D46" s="3" t="s">
        <v>28</v>
      </c>
      <c r="E46" s="3" t="s">
        <v>21</v>
      </c>
      <c r="F46" s="3">
        <v>4</v>
      </c>
      <c r="G46" s="5">
        <v>48</v>
      </c>
    </row>
    <row r="47" spans="1:7" x14ac:dyDescent="0.25">
      <c r="A47" s="9">
        <v>46245</v>
      </c>
      <c r="B47" s="2">
        <f t="shared" si="1"/>
        <v>46245</v>
      </c>
      <c r="C47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W18 (8/8 - 14/8)</v>
      </c>
      <c r="D47" s="3" t="s">
        <v>28</v>
      </c>
      <c r="E47" s="3" t="s">
        <v>21</v>
      </c>
      <c r="F47" s="3">
        <v>4</v>
      </c>
      <c r="G47" s="5">
        <v>48</v>
      </c>
    </row>
    <row r="48" spans="1:7" x14ac:dyDescent="0.25">
      <c r="A48" s="4">
        <v>46246</v>
      </c>
      <c r="B48" s="2">
        <f t="shared" si="1"/>
        <v>46246</v>
      </c>
      <c r="C48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W18 (8/8 - 14/8)</v>
      </c>
      <c r="D48" s="3" t="s">
        <v>28</v>
      </c>
      <c r="E48" s="3" t="s">
        <v>21</v>
      </c>
      <c r="F48" s="3">
        <v>4</v>
      </c>
      <c r="G48" s="5">
        <v>48</v>
      </c>
    </row>
    <row r="49" spans="1:7" x14ac:dyDescent="0.25">
      <c r="A49" s="9">
        <v>46247</v>
      </c>
      <c r="B49" s="2">
        <f t="shared" si="1"/>
        <v>46247</v>
      </c>
      <c r="C49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W18 (8/8 - 14/8)</v>
      </c>
      <c r="D49" s="3" t="s">
        <v>28</v>
      </c>
      <c r="E49" s="3" t="s">
        <v>21</v>
      </c>
      <c r="F49" s="3">
        <v>4</v>
      </c>
      <c r="G49" s="5">
        <v>48</v>
      </c>
    </row>
    <row r="50" spans="1:7" x14ac:dyDescent="0.25">
      <c r="A50" s="4">
        <v>46248</v>
      </c>
      <c r="B50" s="2">
        <f t="shared" si="1"/>
        <v>46248</v>
      </c>
      <c r="C50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W18 (8/8 - 14/8)</v>
      </c>
      <c r="D50" s="3" t="s">
        <v>28</v>
      </c>
      <c r="E50" s="3" t="s">
        <v>21</v>
      </c>
      <c r="F50" s="3">
        <v>4</v>
      </c>
      <c r="G50" s="5">
        <v>48</v>
      </c>
    </row>
    <row r="51" spans="1:7" x14ac:dyDescent="0.25">
      <c r="A51" s="9">
        <v>46249</v>
      </c>
      <c r="B51" s="2">
        <f t="shared" si="1"/>
        <v>46249</v>
      </c>
      <c r="C51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W19 (15/8 - 21/8)</v>
      </c>
      <c r="D51" s="3" t="s">
        <v>28</v>
      </c>
      <c r="E51" s="3" t="s">
        <v>21</v>
      </c>
      <c r="F51" s="3">
        <v>4</v>
      </c>
      <c r="G51" s="5">
        <v>48</v>
      </c>
    </row>
    <row r="52" spans="1:7" x14ac:dyDescent="0.25">
      <c r="A52" s="4">
        <v>46250</v>
      </c>
      <c r="B52" s="2">
        <f t="shared" si="1"/>
        <v>46250</v>
      </c>
      <c r="C52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W19 (15/8 - 21/8)</v>
      </c>
      <c r="D52" s="3" t="s">
        <v>28</v>
      </c>
      <c r="E52" s="3" t="s">
        <v>21</v>
      </c>
      <c r="F52" s="3">
        <v>4</v>
      </c>
      <c r="G52" s="5">
        <v>48</v>
      </c>
    </row>
    <row r="53" spans="1:7" x14ac:dyDescent="0.25">
      <c r="A53" s="9">
        <v>46251</v>
      </c>
      <c r="B53" s="2">
        <f t="shared" si="1"/>
        <v>46251</v>
      </c>
      <c r="C53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W19 (15/8 - 21/8)</v>
      </c>
      <c r="D53" s="3" t="s">
        <v>28</v>
      </c>
      <c r="E53" s="3" t="s">
        <v>21</v>
      </c>
      <c r="F53" s="3">
        <v>4</v>
      </c>
      <c r="G53" s="5">
        <v>48</v>
      </c>
    </row>
    <row r="54" spans="1:7" x14ac:dyDescent="0.25">
      <c r="A54" s="9">
        <v>46252</v>
      </c>
      <c r="B54" s="2">
        <f t="shared" si="1"/>
        <v>46252</v>
      </c>
      <c r="C54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W19 (15/8 - 21/8)</v>
      </c>
      <c r="D54" s="3" t="s">
        <v>28</v>
      </c>
      <c r="E54" s="3" t="s">
        <v>21</v>
      </c>
      <c r="F54" s="3">
        <v>4</v>
      </c>
      <c r="G54" s="5">
        <v>48</v>
      </c>
    </row>
    <row r="55" spans="1:7" x14ac:dyDescent="0.25">
      <c r="A55" s="9">
        <v>46253</v>
      </c>
      <c r="B55" s="2">
        <f t="shared" si="1"/>
        <v>46253</v>
      </c>
      <c r="C55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W19 (15/8 - 21/8)</v>
      </c>
      <c r="D55" s="3" t="s">
        <v>28</v>
      </c>
      <c r="E55" s="3" t="s">
        <v>21</v>
      </c>
      <c r="F55" s="3">
        <v>4</v>
      </c>
      <c r="G55" s="5">
        <v>48</v>
      </c>
    </row>
    <row r="56" spans="1:7" x14ac:dyDescent="0.25">
      <c r="A56" s="9">
        <v>46254</v>
      </c>
      <c r="B56" s="2">
        <f t="shared" si="1"/>
        <v>46254</v>
      </c>
      <c r="C56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W19 (15/8 - 21/8)</v>
      </c>
      <c r="D56" s="3" t="s">
        <v>28</v>
      </c>
      <c r="E56" s="3" t="s">
        <v>21</v>
      </c>
      <c r="F56" s="3">
        <v>4</v>
      </c>
      <c r="G56" s="5">
        <v>48</v>
      </c>
    </row>
    <row r="57" spans="1:7" x14ac:dyDescent="0.25">
      <c r="A57" s="9">
        <v>46255</v>
      </c>
      <c r="B57" s="2">
        <f t="shared" si="1"/>
        <v>46255</v>
      </c>
      <c r="C57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W19 (15/8 - 21/8)</v>
      </c>
      <c r="D57" s="3" t="s">
        <v>28</v>
      </c>
      <c r="E57" s="3" t="s">
        <v>21</v>
      </c>
      <c r="F57" s="3">
        <v>4</v>
      </c>
      <c r="G57" s="5">
        <v>48</v>
      </c>
    </row>
    <row r="58" spans="1:7" x14ac:dyDescent="0.25">
      <c r="A58" s="9">
        <v>46256</v>
      </c>
      <c r="B58" s="2">
        <f t="shared" si="1"/>
        <v>46256</v>
      </c>
      <c r="C58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W20 (22/8 - 28/8)</v>
      </c>
      <c r="D58" s="3" t="s">
        <v>28</v>
      </c>
      <c r="E58" s="3" t="s">
        <v>21</v>
      </c>
      <c r="F58" s="3">
        <v>4</v>
      </c>
      <c r="G58" s="5">
        <v>48</v>
      </c>
    </row>
    <row r="59" spans="1:7" x14ac:dyDescent="0.25">
      <c r="A59" s="9">
        <v>46257</v>
      </c>
      <c r="B59" s="2">
        <f t="shared" si="1"/>
        <v>46257</v>
      </c>
      <c r="C59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W20 (22/8 - 28/8)</v>
      </c>
      <c r="D59" s="3" t="s">
        <v>28</v>
      </c>
      <c r="E59" s="3" t="s">
        <v>21</v>
      </c>
      <c r="F59" s="3">
        <v>4</v>
      </c>
      <c r="G59" s="5">
        <v>48</v>
      </c>
    </row>
    <row r="60" spans="1:7" x14ac:dyDescent="0.25">
      <c r="A60" s="9">
        <v>46258</v>
      </c>
      <c r="B60" s="2">
        <f t="shared" si="1"/>
        <v>46258</v>
      </c>
      <c r="C60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W20 (22/8 - 28/8)</v>
      </c>
      <c r="D60" s="3" t="s">
        <v>28</v>
      </c>
      <c r="E60" s="3" t="s">
        <v>21</v>
      </c>
      <c r="F60" s="3">
        <v>4</v>
      </c>
      <c r="G60" s="5">
        <v>48</v>
      </c>
    </row>
    <row r="61" spans="1:7" x14ac:dyDescent="0.25">
      <c r="A61" s="9">
        <v>46259</v>
      </c>
      <c r="B61" s="2">
        <f t="shared" si="1"/>
        <v>46259</v>
      </c>
      <c r="C61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W20 (22/8 - 28/8)</v>
      </c>
      <c r="D61" s="3" t="s">
        <v>28</v>
      </c>
      <c r="E61" s="3" t="s">
        <v>21</v>
      </c>
      <c r="F61" s="3">
        <v>4</v>
      </c>
      <c r="G61" s="5">
        <v>48</v>
      </c>
    </row>
    <row r="62" spans="1:7" x14ac:dyDescent="0.25">
      <c r="A62" s="9">
        <v>46260</v>
      </c>
      <c r="B62" s="2">
        <f t="shared" si="1"/>
        <v>46260</v>
      </c>
      <c r="C62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W20 (22/8 - 28/8)</v>
      </c>
      <c r="D62" s="3" t="s">
        <v>28</v>
      </c>
      <c r="E62" s="3" t="s">
        <v>21</v>
      </c>
      <c r="F62" s="3">
        <v>4</v>
      </c>
      <c r="G62" s="5">
        <v>48</v>
      </c>
    </row>
    <row r="63" spans="1:7" x14ac:dyDescent="0.25">
      <c r="A63" s="9">
        <v>46261</v>
      </c>
      <c r="B63" s="2">
        <f t="shared" si="1"/>
        <v>46261</v>
      </c>
      <c r="C63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W20 (22/8 - 28/8)</v>
      </c>
      <c r="D63" s="3" t="s">
        <v>28</v>
      </c>
      <c r="E63" s="3" t="s">
        <v>21</v>
      </c>
      <c r="F63" s="3">
        <v>4</v>
      </c>
      <c r="G63" s="5">
        <v>48</v>
      </c>
    </row>
    <row r="64" spans="1:7" x14ac:dyDescent="0.25">
      <c r="A64" s="9">
        <v>46262</v>
      </c>
      <c r="B64" s="2">
        <f t="shared" si="1"/>
        <v>46262</v>
      </c>
      <c r="C64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W20 (22/8 - 28/8)</v>
      </c>
      <c r="D64" s="3" t="s">
        <v>28</v>
      </c>
      <c r="E64" s="3" t="s">
        <v>21</v>
      </c>
      <c r="F64" s="3">
        <v>4</v>
      </c>
      <c r="G64" s="5">
        <v>48</v>
      </c>
    </row>
    <row r="65" spans="1:7" x14ac:dyDescent="0.25">
      <c r="A65" s="9">
        <v>46263</v>
      </c>
      <c r="B65" s="2">
        <f t="shared" si="1"/>
        <v>46263</v>
      </c>
      <c r="C65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W21 (29/8 - 4/9)</v>
      </c>
      <c r="D65" s="3" t="s">
        <v>28</v>
      </c>
      <c r="E65" s="3" t="s">
        <v>21</v>
      </c>
      <c r="F65" s="3">
        <v>4</v>
      </c>
      <c r="G65" s="5">
        <v>48</v>
      </c>
    </row>
    <row r="66" spans="1:7" x14ac:dyDescent="0.25">
      <c r="A66" s="9">
        <v>46264</v>
      </c>
      <c r="B66" s="2">
        <f t="shared" si="1"/>
        <v>46264</v>
      </c>
      <c r="C66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W21 (29/8 - 4/9)</v>
      </c>
      <c r="D66" s="3" t="s">
        <v>28</v>
      </c>
      <c r="E66" s="3" t="s">
        <v>21</v>
      </c>
      <c r="F66" s="3">
        <v>4</v>
      </c>
      <c r="G66" s="5">
        <v>48</v>
      </c>
    </row>
    <row r="67" spans="1:7" x14ac:dyDescent="0.25">
      <c r="A67" s="9">
        <v>46265</v>
      </c>
      <c r="B67" s="2">
        <f t="shared" si="1"/>
        <v>46265</v>
      </c>
      <c r="C67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W21 (29/8 - 4/9)</v>
      </c>
      <c r="D67" s="3" t="s">
        <v>28</v>
      </c>
      <c r="E67" s="3" t="s">
        <v>21</v>
      </c>
      <c r="F67" s="3">
        <v>4</v>
      </c>
      <c r="G67" s="5">
        <v>48</v>
      </c>
    </row>
    <row r="68" spans="1:7" x14ac:dyDescent="0.25">
      <c r="A68" s="9">
        <v>46266</v>
      </c>
      <c r="B68" s="2">
        <f t="shared" si="1"/>
        <v>46266</v>
      </c>
      <c r="C68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W21 (29/8 - 4/9)</v>
      </c>
      <c r="D68" s="3" t="s">
        <v>28</v>
      </c>
      <c r="E68" s="3" t="s">
        <v>21</v>
      </c>
      <c r="F68" s="3">
        <v>4</v>
      </c>
      <c r="G68" s="5">
        <v>48</v>
      </c>
    </row>
    <row r="69" spans="1:7" x14ac:dyDescent="0.25">
      <c r="A69" s="9">
        <v>46267</v>
      </c>
      <c r="B69" s="2">
        <f t="shared" si="1"/>
        <v>46267</v>
      </c>
      <c r="C69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W21 (29/8 - 4/9)</v>
      </c>
      <c r="D69" s="3" t="s">
        <v>28</v>
      </c>
      <c r="E69" s="3" t="s">
        <v>21</v>
      </c>
      <c r="F69" s="3">
        <v>4</v>
      </c>
      <c r="G69" s="5">
        <v>48</v>
      </c>
    </row>
    <row r="70" spans="1:7" x14ac:dyDescent="0.25">
      <c r="A70" s="9">
        <v>46268</v>
      </c>
      <c r="B70" s="2">
        <f t="shared" ref="B70:B101" si="2">A70</f>
        <v>46268</v>
      </c>
      <c r="C70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W21 (29/8 - 4/9)</v>
      </c>
      <c r="D70" s="3" t="s">
        <v>28</v>
      </c>
      <c r="E70" s="3" t="s">
        <v>21</v>
      </c>
      <c r="F70" s="3">
        <v>4</v>
      </c>
      <c r="G70" s="5">
        <v>48</v>
      </c>
    </row>
    <row r="71" spans="1:7" x14ac:dyDescent="0.25">
      <c r="A71" s="9">
        <v>46269</v>
      </c>
      <c r="B71" s="2">
        <f t="shared" si="2"/>
        <v>46269</v>
      </c>
      <c r="C71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W21 (29/8 - 4/9)</v>
      </c>
      <c r="D71" s="3" t="s">
        <v>28</v>
      </c>
      <c r="E71" s="3" t="s">
        <v>21</v>
      </c>
      <c r="F71" s="3">
        <v>4</v>
      </c>
      <c r="G71" s="5">
        <v>48</v>
      </c>
    </row>
    <row r="72" spans="1:7" x14ac:dyDescent="0.25">
      <c r="A72" s="9">
        <v>46270</v>
      </c>
      <c r="B72" s="2">
        <f t="shared" si="2"/>
        <v>46270</v>
      </c>
      <c r="C72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W22 (5/9 - 11/9)</v>
      </c>
      <c r="D72" s="3" t="s">
        <v>28</v>
      </c>
      <c r="E72" s="3" t="s">
        <v>21</v>
      </c>
      <c r="F72" s="3">
        <v>4</v>
      </c>
      <c r="G72" s="5">
        <v>48</v>
      </c>
    </row>
    <row r="73" spans="1:7" x14ac:dyDescent="0.25">
      <c r="A73" s="9">
        <v>46271</v>
      </c>
      <c r="B73" s="2">
        <f t="shared" si="2"/>
        <v>46271</v>
      </c>
      <c r="C73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W22 (5/9 - 11/9)</v>
      </c>
      <c r="D73" s="3" t="s">
        <v>28</v>
      </c>
      <c r="E73" s="3" t="s">
        <v>21</v>
      </c>
      <c r="F73" s="3">
        <v>4</v>
      </c>
      <c r="G73" s="5">
        <v>48</v>
      </c>
    </row>
    <row r="74" spans="1:7" x14ac:dyDescent="0.25">
      <c r="A74" s="9">
        <v>46272</v>
      </c>
      <c r="B74" s="2">
        <f t="shared" si="2"/>
        <v>46272</v>
      </c>
      <c r="C74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W22 (5/9 - 11/9)</v>
      </c>
      <c r="D74" s="3" t="s">
        <v>28</v>
      </c>
      <c r="E74" s="3" t="s">
        <v>21</v>
      </c>
      <c r="F74" s="3">
        <v>4</v>
      </c>
      <c r="G74" s="5">
        <v>48</v>
      </c>
    </row>
    <row r="75" spans="1:7" x14ac:dyDescent="0.25">
      <c r="A75" s="9">
        <v>46273</v>
      </c>
      <c r="B75" s="2">
        <f t="shared" si="2"/>
        <v>46273</v>
      </c>
      <c r="C75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W22 (5/9 - 11/9)</v>
      </c>
      <c r="D75" s="3" t="s">
        <v>28</v>
      </c>
      <c r="E75" s="3" t="s">
        <v>21</v>
      </c>
      <c r="F75" s="3">
        <v>4</v>
      </c>
      <c r="G75" s="5">
        <v>48</v>
      </c>
    </row>
    <row r="76" spans="1:7" x14ac:dyDescent="0.25">
      <c r="A76" s="9">
        <v>46274</v>
      </c>
      <c r="B76" s="2">
        <f t="shared" si="2"/>
        <v>46274</v>
      </c>
      <c r="C76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W22 (5/9 - 11/9)</v>
      </c>
      <c r="D76" s="3" t="s">
        <v>28</v>
      </c>
      <c r="E76" s="3" t="s">
        <v>21</v>
      </c>
      <c r="F76" s="3">
        <v>4</v>
      </c>
      <c r="G76" s="5">
        <v>48</v>
      </c>
    </row>
    <row r="77" spans="1:7" x14ac:dyDescent="0.25">
      <c r="A77" s="9">
        <v>46275</v>
      </c>
      <c r="B77" s="2">
        <f t="shared" si="2"/>
        <v>46275</v>
      </c>
      <c r="C77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W22 (5/9 - 11/9)</v>
      </c>
      <c r="D77" s="3" t="s">
        <v>28</v>
      </c>
      <c r="E77" s="3" t="s">
        <v>21</v>
      </c>
      <c r="F77" s="3">
        <v>4</v>
      </c>
      <c r="G77" s="5">
        <v>48</v>
      </c>
    </row>
    <row r="78" spans="1:7" x14ac:dyDescent="0.25">
      <c r="A78" s="9">
        <v>46276</v>
      </c>
      <c r="B78" s="2">
        <f t="shared" si="2"/>
        <v>46276</v>
      </c>
      <c r="C78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W22 (5/9 - 11/9)</v>
      </c>
      <c r="D78" s="3" t="s">
        <v>28</v>
      </c>
      <c r="E78" s="3" t="s">
        <v>21</v>
      </c>
      <c r="F78" s="3">
        <v>4</v>
      </c>
      <c r="G78" s="5">
        <v>48</v>
      </c>
    </row>
    <row r="79" spans="1:7" x14ac:dyDescent="0.25">
      <c r="A79" s="9">
        <v>46277</v>
      </c>
      <c r="B79" s="2">
        <f t="shared" si="2"/>
        <v>46277</v>
      </c>
      <c r="C79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W23 (12/9 - 18/9)</v>
      </c>
      <c r="D79" s="3" t="s">
        <v>28</v>
      </c>
      <c r="E79" s="3" t="s">
        <v>21</v>
      </c>
      <c r="F79" s="3">
        <v>4</v>
      </c>
      <c r="G79" s="5">
        <v>48</v>
      </c>
    </row>
    <row r="80" spans="1:7" x14ac:dyDescent="0.25">
      <c r="A80" s="9">
        <v>46278</v>
      </c>
      <c r="B80" s="2">
        <f t="shared" si="2"/>
        <v>46278</v>
      </c>
      <c r="C80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W23 (12/9 - 18/9)</v>
      </c>
      <c r="D80" s="3" t="s">
        <v>28</v>
      </c>
      <c r="E80" s="3" t="s">
        <v>21</v>
      </c>
      <c r="F80" s="3">
        <v>4</v>
      </c>
      <c r="G80" s="5">
        <v>48</v>
      </c>
    </row>
    <row r="81" spans="1:7" x14ac:dyDescent="0.25">
      <c r="A81" s="9">
        <v>46279</v>
      </c>
      <c r="B81" s="2">
        <f t="shared" si="2"/>
        <v>46279</v>
      </c>
      <c r="C81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W23 (12/9 - 18/9)</v>
      </c>
      <c r="D81" s="3" t="s">
        <v>28</v>
      </c>
      <c r="E81" s="3" t="s">
        <v>21</v>
      </c>
      <c r="F81" s="3">
        <v>4</v>
      </c>
      <c r="G81" s="5">
        <v>48</v>
      </c>
    </row>
    <row r="82" spans="1:7" x14ac:dyDescent="0.25">
      <c r="A82" s="9">
        <v>46280</v>
      </c>
      <c r="B82" s="2">
        <f t="shared" si="2"/>
        <v>46280</v>
      </c>
      <c r="C82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W23 (12/9 - 18/9)</v>
      </c>
      <c r="D82" s="3" t="s">
        <v>28</v>
      </c>
      <c r="E82" s="3" t="s">
        <v>21</v>
      </c>
      <c r="F82" s="3">
        <v>4</v>
      </c>
      <c r="G82" s="5">
        <v>48</v>
      </c>
    </row>
    <row r="83" spans="1:7" x14ac:dyDescent="0.25">
      <c r="A83" s="9">
        <v>46281</v>
      </c>
      <c r="B83" s="2">
        <f t="shared" si="2"/>
        <v>46281</v>
      </c>
      <c r="C83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W23 (12/9 - 18/9)</v>
      </c>
      <c r="D83" s="3" t="s">
        <v>28</v>
      </c>
      <c r="E83" s="3" t="s">
        <v>21</v>
      </c>
      <c r="F83" s="3">
        <v>4</v>
      </c>
      <c r="G83" s="5">
        <v>48</v>
      </c>
    </row>
    <row r="84" spans="1:7" x14ac:dyDescent="0.25">
      <c r="A84" s="9">
        <v>46282</v>
      </c>
      <c r="B84" s="2">
        <f t="shared" si="2"/>
        <v>46282</v>
      </c>
      <c r="C84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W23 (12/9 - 18/9)</v>
      </c>
      <c r="D84" s="3" t="s">
        <v>28</v>
      </c>
      <c r="E84" s="3" t="s">
        <v>21</v>
      </c>
      <c r="F84" s="3">
        <v>4</v>
      </c>
      <c r="G84" s="5">
        <v>48</v>
      </c>
    </row>
    <row r="85" spans="1:7" x14ac:dyDescent="0.25">
      <c r="A85" s="9">
        <v>46283</v>
      </c>
      <c r="B85" s="2">
        <f t="shared" si="2"/>
        <v>46283</v>
      </c>
      <c r="C85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W23 (12/9 - 18/9)</v>
      </c>
      <c r="D85" s="3" t="s">
        <v>28</v>
      </c>
      <c r="E85" s="3" t="s">
        <v>21</v>
      </c>
      <c r="F85" s="3">
        <v>4</v>
      </c>
      <c r="G85" s="5">
        <v>48</v>
      </c>
    </row>
    <row r="86" spans="1:7" x14ac:dyDescent="0.25">
      <c r="A86" s="9">
        <v>46284</v>
      </c>
      <c r="B86" s="2">
        <f t="shared" si="2"/>
        <v>46284</v>
      </c>
      <c r="C86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W24 (19/9 - 25/9)</v>
      </c>
      <c r="D86" s="3" t="s">
        <v>28</v>
      </c>
      <c r="E86" s="3" t="s">
        <v>21</v>
      </c>
      <c r="F86" s="3">
        <v>4</v>
      </c>
      <c r="G86" s="5">
        <v>48</v>
      </c>
    </row>
    <row r="87" spans="1:7" x14ac:dyDescent="0.25">
      <c r="A87" s="9">
        <v>46285</v>
      </c>
      <c r="B87" s="2">
        <f t="shared" si="2"/>
        <v>46285</v>
      </c>
      <c r="C87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W24 (19/9 - 25/9)</v>
      </c>
      <c r="D87" s="3" t="s">
        <v>28</v>
      </c>
      <c r="E87" s="3" t="s">
        <v>21</v>
      </c>
      <c r="F87" s="3">
        <v>4</v>
      </c>
      <c r="G87" s="5">
        <v>48</v>
      </c>
    </row>
    <row r="88" spans="1:7" x14ac:dyDescent="0.25">
      <c r="A88" s="9">
        <v>46286</v>
      </c>
      <c r="B88" s="2">
        <f t="shared" si="2"/>
        <v>46286</v>
      </c>
      <c r="C88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W24 (19/9 - 25/9)</v>
      </c>
      <c r="D88" s="3" t="s">
        <v>28</v>
      </c>
      <c r="E88" s="3" t="s">
        <v>21</v>
      </c>
      <c r="F88" s="3">
        <v>4</v>
      </c>
      <c r="G88" s="5">
        <v>48</v>
      </c>
    </row>
    <row r="89" spans="1:7" x14ac:dyDescent="0.25">
      <c r="A89" s="9">
        <v>46287</v>
      </c>
      <c r="B89" s="2">
        <f t="shared" si="2"/>
        <v>46287</v>
      </c>
      <c r="C89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W24 (19/9 - 25/9)</v>
      </c>
      <c r="D89" s="3" t="s">
        <v>28</v>
      </c>
      <c r="E89" s="3" t="s">
        <v>21</v>
      </c>
      <c r="F89" s="3">
        <v>4</v>
      </c>
      <c r="G89" s="5">
        <v>48</v>
      </c>
    </row>
    <row r="90" spans="1:7" x14ac:dyDescent="0.25">
      <c r="A90" s="9">
        <v>46288</v>
      </c>
      <c r="B90" s="2">
        <f t="shared" si="2"/>
        <v>46288</v>
      </c>
      <c r="C90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W24 (19/9 - 25/9)</v>
      </c>
      <c r="D90" s="3" t="s">
        <v>28</v>
      </c>
      <c r="E90" s="3" t="s">
        <v>21</v>
      </c>
      <c r="F90" s="3">
        <v>4</v>
      </c>
      <c r="G90" s="5">
        <v>48</v>
      </c>
    </row>
    <row r="91" spans="1:7" x14ac:dyDescent="0.25">
      <c r="A91" s="9">
        <v>46289</v>
      </c>
      <c r="B91" s="2">
        <f t="shared" si="2"/>
        <v>46289</v>
      </c>
      <c r="C91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W24 (19/9 - 25/9)</v>
      </c>
      <c r="D91" s="3" t="s">
        <v>28</v>
      </c>
      <c r="E91" s="3" t="s">
        <v>21</v>
      </c>
      <c r="F91" s="3">
        <v>4</v>
      </c>
      <c r="G91" s="5">
        <v>48</v>
      </c>
    </row>
    <row r="92" spans="1:7" x14ac:dyDescent="0.25">
      <c r="A92" s="9">
        <v>46290</v>
      </c>
      <c r="B92" s="2">
        <f t="shared" si="2"/>
        <v>46290</v>
      </c>
      <c r="C92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W24 (19/9 - 25/9)</v>
      </c>
      <c r="D92" s="3" t="s">
        <v>28</v>
      </c>
      <c r="E92" s="3" t="s">
        <v>21</v>
      </c>
      <c r="F92" s="3">
        <v>4</v>
      </c>
      <c r="G92" s="5">
        <v>48</v>
      </c>
    </row>
    <row r="93" spans="1:7" x14ac:dyDescent="0.25">
      <c r="A93" s="9">
        <v>46291</v>
      </c>
      <c r="B93" s="2">
        <f t="shared" si="2"/>
        <v>46291</v>
      </c>
      <c r="C93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W25 (26/9 - 2/10)</v>
      </c>
      <c r="D93" s="3" t="s">
        <v>28</v>
      </c>
      <c r="E93" s="3" t="s">
        <v>21</v>
      </c>
      <c r="F93" s="3">
        <v>4</v>
      </c>
      <c r="G93" s="5">
        <v>48</v>
      </c>
    </row>
    <row r="94" spans="1:7" x14ac:dyDescent="0.25">
      <c r="A94" s="9">
        <v>46292</v>
      </c>
      <c r="B94" s="2">
        <f t="shared" si="2"/>
        <v>46292</v>
      </c>
      <c r="C94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W25 (26/9 - 2/10)</v>
      </c>
      <c r="D94" s="3" t="s">
        <v>28</v>
      </c>
      <c r="E94" s="3" t="s">
        <v>21</v>
      </c>
      <c r="F94" s="3">
        <v>4</v>
      </c>
      <c r="G94" s="5">
        <v>48</v>
      </c>
    </row>
    <row r="95" spans="1:7" x14ac:dyDescent="0.25">
      <c r="A95" s="9">
        <v>46293</v>
      </c>
      <c r="B95" s="2">
        <f t="shared" si="2"/>
        <v>46293</v>
      </c>
      <c r="C95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W25 (26/9 - 2/10)</v>
      </c>
      <c r="D95" s="3" t="s">
        <v>28</v>
      </c>
      <c r="E95" s="3" t="s">
        <v>21</v>
      </c>
      <c r="F95" s="3">
        <v>4</v>
      </c>
      <c r="G95" s="5">
        <v>48</v>
      </c>
    </row>
    <row r="96" spans="1:7" x14ac:dyDescent="0.25">
      <c r="A96" s="9">
        <v>46294</v>
      </c>
      <c r="B96" s="2">
        <f t="shared" si="2"/>
        <v>46294</v>
      </c>
      <c r="C96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W25 (26/9 - 2/10)</v>
      </c>
      <c r="D96" s="3" t="s">
        <v>28</v>
      </c>
      <c r="E96" s="3" t="s">
        <v>21</v>
      </c>
      <c r="F96" s="3">
        <v>4</v>
      </c>
      <c r="G96" s="5">
        <v>48</v>
      </c>
    </row>
    <row r="97" spans="1:7" x14ac:dyDescent="0.25">
      <c r="A97" s="9">
        <v>46295</v>
      </c>
      <c r="B97" s="2">
        <f t="shared" si="2"/>
        <v>46295</v>
      </c>
      <c r="C97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W25 (26/9 - 2/10)</v>
      </c>
      <c r="D97" s="3" t="s">
        <v>28</v>
      </c>
      <c r="E97" s="3" t="s">
        <v>21</v>
      </c>
      <c r="F97" s="3">
        <v>4</v>
      </c>
      <c r="G97" s="5">
        <v>48</v>
      </c>
    </row>
    <row r="98" spans="1:7" x14ac:dyDescent="0.25">
      <c r="A98" s="9">
        <v>46296</v>
      </c>
      <c r="B98" s="2">
        <f t="shared" si="2"/>
        <v>46296</v>
      </c>
      <c r="C98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W25 (26/9 - 2/10)</v>
      </c>
      <c r="D98" s="3" t="s">
        <v>28</v>
      </c>
      <c r="E98" s="3" t="s">
        <v>21</v>
      </c>
      <c r="F98" s="3">
        <v>4</v>
      </c>
      <c r="G98" s="5">
        <v>48</v>
      </c>
    </row>
    <row r="99" spans="1:7" x14ac:dyDescent="0.25">
      <c r="A99" s="9">
        <v>46297</v>
      </c>
      <c r="B99" s="2">
        <f t="shared" si="2"/>
        <v>46297</v>
      </c>
      <c r="C99" s="3" t="str">
        <f>IF(SECURITY[[#This Row],[DATE]]&lt;DATE(2026,4,11),"0",_xlfn.LET(
_xlpm.W,INT((SECURITY[[#This Row],[DATE]]-DATE(2026,4,11))/7)+1,
_xlpm.S,DATE(2026,4,11)+(_xlpm.W-1)*7,
_xlpm.E,_xlpm.S+6,
"W"&amp;TEXT(_xlpm.W,"00")&amp;" ("&amp;TEXT(_xlpm.S,"d/m")&amp;" - "&amp;TEXT(_xlpm.E,"d/m")&amp;")"
))</f>
        <v>W25 (26/9 - 2/10)</v>
      </c>
      <c r="D99" s="3" t="s">
        <v>28</v>
      </c>
      <c r="E99" s="3" t="s">
        <v>21</v>
      </c>
      <c r="F99" s="3">
        <v>4</v>
      </c>
      <c r="G99" s="5">
        <v>48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5:AN68"/>
  <sheetViews>
    <sheetView topLeftCell="A25" zoomScaleNormal="100" workbookViewId="0">
      <selection activeCell="A62" sqref="A62:G68"/>
    </sheetView>
  </sheetViews>
  <sheetFormatPr defaultColWidth="8.85546875" defaultRowHeight="12.75" x14ac:dyDescent="0.25"/>
  <cols>
    <col min="1" max="1" width="18.7109375" style="1" customWidth="1"/>
    <col min="2" max="2" width="13.7109375" style="1" customWidth="1"/>
    <col min="3" max="3" width="17.85546875" style="1" bestFit="1" customWidth="1"/>
    <col min="4" max="7" width="21.85546875" style="1" customWidth="1"/>
    <col min="8" max="8" width="8.85546875" style="1" customWidth="1"/>
    <col min="9" max="16384" width="8.85546875" style="1"/>
  </cols>
  <sheetData>
    <row r="5" spans="1:40" x14ac:dyDescent="0.25">
      <c r="A5" s="6" t="s">
        <v>0</v>
      </c>
      <c r="B5" s="7" t="s">
        <v>1</v>
      </c>
      <c r="C5" s="7" t="s">
        <v>2</v>
      </c>
      <c r="D5" s="7" t="s">
        <v>12</v>
      </c>
      <c r="E5" s="7" t="s">
        <v>13</v>
      </c>
      <c r="F5" s="7" t="s">
        <v>14</v>
      </c>
      <c r="G5" s="8" t="s">
        <v>15</v>
      </c>
    </row>
    <row r="6" spans="1:40" x14ac:dyDescent="0.25">
      <c r="A6" s="4">
        <v>46235</v>
      </c>
      <c r="B6" s="2">
        <f t="shared" ref="B6:B37" si="0">A6</f>
        <v>46235</v>
      </c>
      <c r="C6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W17 (1/8 - 7/8)</v>
      </c>
      <c r="D6" s="3" t="s">
        <v>29</v>
      </c>
      <c r="E6" s="3" t="s">
        <v>21</v>
      </c>
      <c r="F6" s="3">
        <v>2</v>
      </c>
      <c r="G6" s="5">
        <v>16</v>
      </c>
    </row>
    <row r="7" spans="1:40" x14ac:dyDescent="0.25">
      <c r="A7" s="4">
        <v>46236</v>
      </c>
      <c r="B7" s="2">
        <f t="shared" si="0"/>
        <v>46236</v>
      </c>
      <c r="C7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W17 (1/8 - 7/8)</v>
      </c>
      <c r="D7" s="3" t="s">
        <v>29</v>
      </c>
      <c r="E7" s="3" t="s">
        <v>21</v>
      </c>
      <c r="F7" s="3">
        <v>0</v>
      </c>
      <c r="G7" s="5">
        <v>0</v>
      </c>
    </row>
    <row r="8" spans="1:40" x14ac:dyDescent="0.25">
      <c r="A8" s="4">
        <v>46237</v>
      </c>
      <c r="B8" s="2">
        <f t="shared" si="0"/>
        <v>46237</v>
      </c>
      <c r="C8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W17 (1/8 - 7/8)</v>
      </c>
      <c r="D8" s="3" t="s">
        <v>29</v>
      </c>
      <c r="E8" s="3" t="s">
        <v>21</v>
      </c>
      <c r="F8" s="3">
        <v>3</v>
      </c>
      <c r="G8" s="5">
        <v>24</v>
      </c>
    </row>
    <row r="9" spans="1:40" x14ac:dyDescent="0.25">
      <c r="A9" s="4">
        <v>46238</v>
      </c>
      <c r="B9" s="2">
        <f t="shared" si="0"/>
        <v>46238</v>
      </c>
      <c r="C9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W17 (1/8 - 7/8)</v>
      </c>
      <c r="D9" s="3" t="s">
        <v>29</v>
      </c>
      <c r="E9" s="3" t="s">
        <v>21</v>
      </c>
      <c r="F9" s="3">
        <v>3</v>
      </c>
      <c r="G9" s="5">
        <v>24</v>
      </c>
    </row>
    <row r="10" spans="1:40" x14ac:dyDescent="0.25">
      <c r="A10" s="4">
        <v>46239</v>
      </c>
      <c r="B10" s="2">
        <f t="shared" si="0"/>
        <v>46239</v>
      </c>
      <c r="C10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W17 (1/8 - 7/8)</v>
      </c>
      <c r="D10" s="3" t="s">
        <v>29</v>
      </c>
      <c r="E10" s="3" t="s">
        <v>21</v>
      </c>
      <c r="F10" s="3">
        <v>6</v>
      </c>
      <c r="G10" s="5">
        <v>48</v>
      </c>
    </row>
    <row r="11" spans="1:40" x14ac:dyDescent="0.25">
      <c r="A11" s="4">
        <v>46240</v>
      </c>
      <c r="B11" s="2">
        <f t="shared" si="0"/>
        <v>46240</v>
      </c>
      <c r="C11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W17 (1/8 - 7/8)</v>
      </c>
      <c r="D11" s="3" t="s">
        <v>29</v>
      </c>
      <c r="E11" s="3" t="s">
        <v>21</v>
      </c>
      <c r="F11" s="3">
        <v>6</v>
      </c>
      <c r="G11" s="5">
        <v>48</v>
      </c>
    </row>
    <row r="12" spans="1:40" x14ac:dyDescent="0.25">
      <c r="A12" s="4">
        <v>46241</v>
      </c>
      <c r="B12" s="2">
        <f t="shared" si="0"/>
        <v>46241</v>
      </c>
      <c r="C12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W17 (1/8 - 7/8)</v>
      </c>
      <c r="D12" s="3" t="s">
        <v>29</v>
      </c>
      <c r="E12" s="3" t="s">
        <v>21</v>
      </c>
      <c r="F12" s="3">
        <v>6</v>
      </c>
      <c r="G12" s="5">
        <v>48</v>
      </c>
    </row>
    <row r="13" spans="1:40" x14ac:dyDescent="0.25">
      <c r="A13" s="4">
        <v>46242</v>
      </c>
      <c r="B13" s="2">
        <f t="shared" si="0"/>
        <v>46242</v>
      </c>
      <c r="C13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W18 (8/8 - 14/8)</v>
      </c>
      <c r="D13" s="3" t="s">
        <v>29</v>
      </c>
      <c r="E13" s="3" t="s">
        <v>21</v>
      </c>
      <c r="F13" s="3">
        <v>6</v>
      </c>
      <c r="G13" s="5">
        <v>48</v>
      </c>
    </row>
    <row r="14" spans="1:40" x14ac:dyDescent="0.25">
      <c r="A14" s="4">
        <v>46243</v>
      </c>
      <c r="B14" s="2">
        <f t="shared" si="0"/>
        <v>46243</v>
      </c>
      <c r="C14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W18 (8/8 - 14/8)</v>
      </c>
      <c r="D14" s="3" t="s">
        <v>29</v>
      </c>
      <c r="E14" s="3" t="s">
        <v>21</v>
      </c>
      <c r="F14" s="3">
        <v>0</v>
      </c>
      <c r="G14" s="5">
        <v>0</v>
      </c>
    </row>
    <row r="15" spans="1:40" x14ac:dyDescent="0.25">
      <c r="A15" s="4">
        <v>46244</v>
      </c>
      <c r="B15" s="2">
        <f t="shared" si="0"/>
        <v>46244</v>
      </c>
      <c r="C15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W18 (8/8 - 14/8)</v>
      </c>
      <c r="D15" s="3" t="s">
        <v>29</v>
      </c>
      <c r="E15" s="3" t="s">
        <v>21</v>
      </c>
      <c r="F15" s="3">
        <v>13</v>
      </c>
      <c r="G15" s="5">
        <v>104</v>
      </c>
      <c r="AL15" s="1">
        <v>320</v>
      </c>
      <c r="AM15" s="1">
        <v>0</v>
      </c>
      <c r="AN15" s="1">
        <v>0</v>
      </c>
    </row>
    <row r="16" spans="1:40" x14ac:dyDescent="0.25">
      <c r="A16" s="4">
        <v>46245</v>
      </c>
      <c r="B16" s="2">
        <f t="shared" si="0"/>
        <v>46245</v>
      </c>
      <c r="C16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W18 (8/8 - 14/8)</v>
      </c>
      <c r="D16" s="3" t="s">
        <v>29</v>
      </c>
      <c r="E16" s="3" t="s">
        <v>21</v>
      </c>
      <c r="F16" s="3">
        <v>13</v>
      </c>
      <c r="G16" s="5">
        <v>104</v>
      </c>
    </row>
    <row r="17" spans="1:7" x14ac:dyDescent="0.25">
      <c r="A17" s="4">
        <v>46246</v>
      </c>
      <c r="B17" s="2">
        <f t="shared" si="0"/>
        <v>46246</v>
      </c>
      <c r="C17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W18 (8/8 - 14/8)</v>
      </c>
      <c r="D17" s="3" t="s">
        <v>29</v>
      </c>
      <c r="E17" s="3" t="s">
        <v>21</v>
      </c>
      <c r="F17" s="3">
        <v>15</v>
      </c>
      <c r="G17" s="5">
        <v>120</v>
      </c>
    </row>
    <row r="18" spans="1:7" x14ac:dyDescent="0.25">
      <c r="A18" s="4">
        <v>46247</v>
      </c>
      <c r="B18" s="2">
        <f t="shared" si="0"/>
        <v>46247</v>
      </c>
      <c r="C18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W18 (8/8 - 14/8)</v>
      </c>
      <c r="D18" s="3" t="s">
        <v>29</v>
      </c>
      <c r="E18" s="3" t="s">
        <v>21</v>
      </c>
      <c r="F18" s="3">
        <v>15</v>
      </c>
      <c r="G18" s="5">
        <v>120</v>
      </c>
    </row>
    <row r="19" spans="1:7" x14ac:dyDescent="0.25">
      <c r="A19" s="4">
        <v>46248</v>
      </c>
      <c r="B19" s="2">
        <f t="shared" si="0"/>
        <v>46248</v>
      </c>
      <c r="C19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W18 (8/8 - 14/8)</v>
      </c>
      <c r="D19" s="3" t="s">
        <v>29</v>
      </c>
      <c r="E19" s="3" t="s">
        <v>21</v>
      </c>
      <c r="F19" s="3">
        <v>15</v>
      </c>
      <c r="G19" s="5">
        <v>120</v>
      </c>
    </row>
    <row r="20" spans="1:7" x14ac:dyDescent="0.25">
      <c r="A20" s="4">
        <v>46249</v>
      </c>
      <c r="B20" s="2">
        <f t="shared" si="0"/>
        <v>46249</v>
      </c>
      <c r="C20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W19 (15/8 - 21/8)</v>
      </c>
      <c r="D20" s="3" t="s">
        <v>29</v>
      </c>
      <c r="E20" s="3" t="s">
        <v>21</v>
      </c>
      <c r="F20" s="3">
        <v>14</v>
      </c>
      <c r="G20" s="5">
        <v>112</v>
      </c>
    </row>
    <row r="21" spans="1:7" x14ac:dyDescent="0.25">
      <c r="A21" s="4">
        <v>46250</v>
      </c>
      <c r="B21" s="2">
        <f t="shared" si="0"/>
        <v>46250</v>
      </c>
      <c r="C21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W19 (15/8 - 21/8)</v>
      </c>
      <c r="D21" s="3" t="s">
        <v>29</v>
      </c>
      <c r="E21" s="3" t="s">
        <v>21</v>
      </c>
      <c r="F21" s="3">
        <v>0</v>
      </c>
      <c r="G21" s="5">
        <v>0</v>
      </c>
    </row>
    <row r="22" spans="1:7" x14ac:dyDescent="0.25">
      <c r="A22" s="4">
        <v>46251</v>
      </c>
      <c r="B22" s="2">
        <f t="shared" si="0"/>
        <v>46251</v>
      </c>
      <c r="C22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W19 (15/8 - 21/8)</v>
      </c>
      <c r="D22" s="3" t="s">
        <v>29</v>
      </c>
      <c r="E22" s="3" t="s">
        <v>21</v>
      </c>
      <c r="F22" s="3">
        <v>22</v>
      </c>
      <c r="G22" s="5">
        <v>176</v>
      </c>
    </row>
    <row r="23" spans="1:7" x14ac:dyDescent="0.25">
      <c r="A23" s="4">
        <v>46252</v>
      </c>
      <c r="B23" s="2">
        <f t="shared" si="0"/>
        <v>46252</v>
      </c>
      <c r="C23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W19 (15/8 - 21/8)</v>
      </c>
      <c r="D23" s="3" t="s">
        <v>29</v>
      </c>
      <c r="E23" s="3" t="s">
        <v>21</v>
      </c>
      <c r="F23" s="3">
        <v>22</v>
      </c>
      <c r="G23" s="5">
        <v>176</v>
      </c>
    </row>
    <row r="24" spans="1:7" x14ac:dyDescent="0.25">
      <c r="A24" s="4">
        <v>46253</v>
      </c>
      <c r="B24" s="2">
        <f t="shared" si="0"/>
        <v>46253</v>
      </c>
      <c r="C24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W19 (15/8 - 21/8)</v>
      </c>
      <c r="D24" s="3" t="s">
        <v>29</v>
      </c>
      <c r="E24" s="3" t="s">
        <v>21</v>
      </c>
      <c r="F24" s="3">
        <v>27</v>
      </c>
      <c r="G24" s="5">
        <v>216</v>
      </c>
    </row>
    <row r="25" spans="1:7" x14ac:dyDescent="0.25">
      <c r="A25" s="4">
        <v>46254</v>
      </c>
      <c r="B25" s="2">
        <f t="shared" si="0"/>
        <v>46254</v>
      </c>
      <c r="C25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W19 (15/8 - 21/8)</v>
      </c>
      <c r="D25" s="3" t="s">
        <v>29</v>
      </c>
      <c r="E25" s="3" t="s">
        <v>21</v>
      </c>
      <c r="F25" s="3">
        <v>26</v>
      </c>
      <c r="G25" s="5">
        <v>208</v>
      </c>
    </row>
    <row r="26" spans="1:7" x14ac:dyDescent="0.25">
      <c r="A26" s="4">
        <v>46255</v>
      </c>
      <c r="B26" s="2">
        <f t="shared" si="0"/>
        <v>46255</v>
      </c>
      <c r="C26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W19 (15/8 - 21/8)</v>
      </c>
      <c r="D26" s="3" t="s">
        <v>29</v>
      </c>
      <c r="E26" s="3" t="s">
        <v>21</v>
      </c>
      <c r="F26" s="3">
        <v>26</v>
      </c>
      <c r="G26" s="5">
        <v>208</v>
      </c>
    </row>
    <row r="27" spans="1:7" x14ac:dyDescent="0.25">
      <c r="A27" s="4">
        <v>46256</v>
      </c>
      <c r="B27" s="2">
        <f t="shared" si="0"/>
        <v>46256</v>
      </c>
      <c r="C27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W20 (22/8 - 28/8)</v>
      </c>
      <c r="D27" s="3" t="s">
        <v>29</v>
      </c>
      <c r="E27" s="3" t="s">
        <v>21</v>
      </c>
      <c r="F27" s="3">
        <v>25</v>
      </c>
      <c r="G27" s="5">
        <v>200</v>
      </c>
    </row>
    <row r="28" spans="1:7" x14ac:dyDescent="0.25">
      <c r="A28" s="4">
        <v>46257</v>
      </c>
      <c r="B28" s="2">
        <f t="shared" si="0"/>
        <v>46257</v>
      </c>
      <c r="C28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W20 (22/8 - 28/8)</v>
      </c>
      <c r="D28" s="3" t="s">
        <v>29</v>
      </c>
      <c r="E28" s="3" t="s">
        <v>21</v>
      </c>
      <c r="F28" s="3">
        <v>16</v>
      </c>
      <c r="G28" s="5">
        <v>128</v>
      </c>
    </row>
    <row r="29" spans="1:7" x14ac:dyDescent="0.25">
      <c r="A29" s="4">
        <v>46258</v>
      </c>
      <c r="B29" s="2">
        <f t="shared" si="0"/>
        <v>46258</v>
      </c>
      <c r="C29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W20 (22/8 - 28/8)</v>
      </c>
      <c r="D29" s="3" t="s">
        <v>29</v>
      </c>
      <c r="E29" s="3" t="s">
        <v>21</v>
      </c>
      <c r="F29" s="3">
        <v>34</v>
      </c>
      <c r="G29" s="5">
        <v>272</v>
      </c>
    </row>
    <row r="30" spans="1:7" x14ac:dyDescent="0.25">
      <c r="A30" s="4">
        <v>46259</v>
      </c>
      <c r="B30" s="2">
        <f t="shared" si="0"/>
        <v>46259</v>
      </c>
      <c r="C30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W20 (22/8 - 28/8)</v>
      </c>
      <c r="D30" s="3" t="s">
        <v>29</v>
      </c>
      <c r="E30" s="3" t="s">
        <v>21</v>
      </c>
      <c r="F30" s="3">
        <v>32</v>
      </c>
      <c r="G30" s="5">
        <v>256</v>
      </c>
    </row>
    <row r="31" spans="1:7" x14ac:dyDescent="0.25">
      <c r="A31" s="4">
        <v>46260</v>
      </c>
      <c r="B31" s="2">
        <f t="shared" si="0"/>
        <v>46260</v>
      </c>
      <c r="C31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W20 (22/8 - 28/8)</v>
      </c>
      <c r="D31" s="3" t="s">
        <v>29</v>
      </c>
      <c r="E31" s="3" t="s">
        <v>21</v>
      </c>
      <c r="F31" s="3">
        <v>32</v>
      </c>
      <c r="G31" s="5">
        <v>256</v>
      </c>
    </row>
    <row r="32" spans="1:7" x14ac:dyDescent="0.25">
      <c r="A32" s="4">
        <v>46261</v>
      </c>
      <c r="B32" s="2">
        <f t="shared" si="0"/>
        <v>46261</v>
      </c>
      <c r="C32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W20 (22/8 - 28/8)</v>
      </c>
      <c r="D32" s="3" t="s">
        <v>29</v>
      </c>
      <c r="E32" s="3" t="s">
        <v>21</v>
      </c>
      <c r="F32" s="3">
        <v>32</v>
      </c>
      <c r="G32" s="5">
        <v>256</v>
      </c>
    </row>
    <row r="33" spans="1:7" x14ac:dyDescent="0.25">
      <c r="A33" s="4">
        <v>46262</v>
      </c>
      <c r="B33" s="2">
        <f t="shared" si="0"/>
        <v>46262</v>
      </c>
      <c r="C33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W20 (22/8 - 28/8)</v>
      </c>
      <c r="D33" s="3" t="s">
        <v>29</v>
      </c>
      <c r="E33" s="3" t="s">
        <v>21</v>
      </c>
      <c r="F33" s="3">
        <v>32</v>
      </c>
      <c r="G33" s="5">
        <v>256</v>
      </c>
    </row>
    <row r="34" spans="1:7" x14ac:dyDescent="0.25">
      <c r="A34" s="4">
        <v>46263</v>
      </c>
      <c r="B34" s="2">
        <f t="shared" si="0"/>
        <v>46263</v>
      </c>
      <c r="C34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W21 (29/8 - 4/9)</v>
      </c>
      <c r="D34" s="3" t="s">
        <v>29</v>
      </c>
      <c r="E34" s="3" t="s">
        <v>21</v>
      </c>
      <c r="F34" s="3">
        <v>44</v>
      </c>
      <c r="G34" s="5">
        <v>352</v>
      </c>
    </row>
    <row r="35" spans="1:7" x14ac:dyDescent="0.25">
      <c r="A35" s="4">
        <v>46264</v>
      </c>
      <c r="B35" s="2">
        <f t="shared" si="0"/>
        <v>46264</v>
      </c>
      <c r="C35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W21 (29/8 - 4/9)</v>
      </c>
      <c r="D35" s="3" t="s">
        <v>29</v>
      </c>
      <c r="E35" s="3" t="s">
        <v>21</v>
      </c>
      <c r="F35" s="3">
        <v>0</v>
      </c>
      <c r="G35" s="5">
        <v>0</v>
      </c>
    </row>
    <row r="36" spans="1:7" x14ac:dyDescent="0.25">
      <c r="A36" s="4">
        <v>46265</v>
      </c>
      <c r="B36" s="10">
        <f t="shared" si="0"/>
        <v>46265</v>
      </c>
      <c r="C36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W21 (29/8 - 4/9)</v>
      </c>
      <c r="D36" s="3" t="s">
        <v>29</v>
      </c>
      <c r="E36" s="3" t="s">
        <v>21</v>
      </c>
      <c r="F36" s="11">
        <v>0</v>
      </c>
      <c r="G36" s="12">
        <v>0</v>
      </c>
    </row>
    <row r="37" spans="1:7" x14ac:dyDescent="0.25">
      <c r="A37" s="4">
        <v>46266</v>
      </c>
      <c r="B37" s="2">
        <f t="shared" si="0"/>
        <v>46266</v>
      </c>
      <c r="C37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W21 (29/8 - 4/9)</v>
      </c>
      <c r="D37" s="3" t="s">
        <v>29</v>
      </c>
      <c r="E37" s="3" t="s">
        <v>21</v>
      </c>
      <c r="F37" s="3">
        <v>41</v>
      </c>
      <c r="G37" s="5">
        <v>328</v>
      </c>
    </row>
    <row r="38" spans="1:7" x14ac:dyDescent="0.25">
      <c r="A38" s="4">
        <v>46267</v>
      </c>
      <c r="B38" s="2">
        <f t="shared" ref="B38:B69" si="1">A38</f>
        <v>46267</v>
      </c>
      <c r="C38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W21 (29/8 - 4/9)</v>
      </c>
      <c r="D38" s="3" t="s">
        <v>29</v>
      </c>
      <c r="E38" s="3" t="s">
        <v>21</v>
      </c>
      <c r="F38" s="3">
        <v>41</v>
      </c>
      <c r="G38" s="5">
        <v>328</v>
      </c>
    </row>
    <row r="39" spans="1:7" x14ac:dyDescent="0.25">
      <c r="A39" s="4">
        <v>46268</v>
      </c>
      <c r="B39" s="2">
        <f t="shared" si="1"/>
        <v>46268</v>
      </c>
      <c r="C39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W21 (29/8 - 4/9)</v>
      </c>
      <c r="D39" s="3" t="s">
        <v>29</v>
      </c>
      <c r="E39" s="3" t="s">
        <v>21</v>
      </c>
      <c r="F39" s="3">
        <v>63</v>
      </c>
      <c r="G39" s="5">
        <v>504</v>
      </c>
    </row>
    <row r="40" spans="1:7" x14ac:dyDescent="0.25">
      <c r="A40" s="4">
        <v>46269</v>
      </c>
      <c r="B40" s="2">
        <f t="shared" si="1"/>
        <v>46269</v>
      </c>
      <c r="C40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W21 (29/8 - 4/9)</v>
      </c>
      <c r="D40" s="3" t="s">
        <v>29</v>
      </c>
      <c r="E40" s="3" t="s">
        <v>21</v>
      </c>
      <c r="F40" s="3">
        <v>63</v>
      </c>
      <c r="G40" s="5">
        <v>504</v>
      </c>
    </row>
    <row r="41" spans="1:7" x14ac:dyDescent="0.25">
      <c r="A41" s="4">
        <v>46270</v>
      </c>
      <c r="B41" s="2">
        <f t="shared" si="1"/>
        <v>46270</v>
      </c>
      <c r="C41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W22 (5/9 - 11/9)</v>
      </c>
      <c r="D41" s="3" t="s">
        <v>29</v>
      </c>
      <c r="E41" s="3" t="s">
        <v>21</v>
      </c>
      <c r="F41" s="3">
        <v>57</v>
      </c>
      <c r="G41" s="5">
        <v>456</v>
      </c>
    </row>
    <row r="42" spans="1:7" x14ac:dyDescent="0.25">
      <c r="A42" s="4">
        <v>46271</v>
      </c>
      <c r="B42" s="2">
        <f t="shared" si="1"/>
        <v>46271</v>
      </c>
      <c r="C42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W22 (5/9 - 11/9)</v>
      </c>
      <c r="D42" s="3" t="s">
        <v>29</v>
      </c>
      <c r="E42" s="3" t="s">
        <v>21</v>
      </c>
      <c r="F42" s="3">
        <v>36</v>
      </c>
      <c r="G42" s="5">
        <v>288</v>
      </c>
    </row>
    <row r="43" spans="1:7" x14ac:dyDescent="0.25">
      <c r="A43" s="4">
        <v>46272</v>
      </c>
      <c r="B43" s="2">
        <f t="shared" si="1"/>
        <v>46272</v>
      </c>
      <c r="C43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W22 (5/9 - 11/9)</v>
      </c>
      <c r="D43" s="3" t="s">
        <v>29</v>
      </c>
      <c r="E43" s="3" t="s">
        <v>21</v>
      </c>
      <c r="F43" s="3">
        <v>72</v>
      </c>
      <c r="G43" s="5">
        <v>576</v>
      </c>
    </row>
    <row r="44" spans="1:7" x14ac:dyDescent="0.25">
      <c r="A44" s="4">
        <v>46273</v>
      </c>
      <c r="B44" s="2">
        <f t="shared" si="1"/>
        <v>46273</v>
      </c>
      <c r="C44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W22 (5/9 - 11/9)</v>
      </c>
      <c r="D44" s="3" t="s">
        <v>29</v>
      </c>
      <c r="E44" s="3" t="s">
        <v>21</v>
      </c>
      <c r="F44" s="3">
        <v>72</v>
      </c>
      <c r="G44" s="5">
        <v>576</v>
      </c>
    </row>
    <row r="45" spans="1:7" x14ac:dyDescent="0.25">
      <c r="A45" s="4">
        <v>46274</v>
      </c>
      <c r="B45" s="2">
        <f t="shared" si="1"/>
        <v>46274</v>
      </c>
      <c r="C45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W22 (5/9 - 11/9)</v>
      </c>
      <c r="D45" s="3" t="s">
        <v>29</v>
      </c>
      <c r="E45" s="3" t="s">
        <v>21</v>
      </c>
      <c r="F45" s="3">
        <v>74</v>
      </c>
      <c r="G45" s="5">
        <v>592</v>
      </c>
    </row>
    <row r="46" spans="1:7" x14ac:dyDescent="0.25">
      <c r="A46" s="4">
        <v>46275</v>
      </c>
      <c r="B46" s="2">
        <f t="shared" si="1"/>
        <v>46275</v>
      </c>
      <c r="C46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W22 (5/9 - 11/9)</v>
      </c>
      <c r="D46" s="3" t="s">
        <v>29</v>
      </c>
      <c r="E46" s="3" t="s">
        <v>21</v>
      </c>
      <c r="F46" s="3">
        <v>74</v>
      </c>
      <c r="G46" s="5">
        <v>592</v>
      </c>
    </row>
    <row r="47" spans="1:7" x14ac:dyDescent="0.25">
      <c r="A47" s="4">
        <v>46276</v>
      </c>
      <c r="B47" s="2">
        <f t="shared" si="1"/>
        <v>46276</v>
      </c>
      <c r="C47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W22 (5/9 - 11/9)</v>
      </c>
      <c r="D47" s="3" t="s">
        <v>29</v>
      </c>
      <c r="E47" s="3" t="s">
        <v>21</v>
      </c>
      <c r="F47" s="3">
        <v>76</v>
      </c>
      <c r="G47" s="5">
        <v>608</v>
      </c>
    </row>
    <row r="48" spans="1:7" x14ac:dyDescent="0.25">
      <c r="A48" s="4">
        <v>46277</v>
      </c>
      <c r="B48" s="2">
        <f t="shared" si="1"/>
        <v>46277</v>
      </c>
      <c r="C48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W23 (12/9 - 18/9)</v>
      </c>
      <c r="D48" s="3" t="s">
        <v>29</v>
      </c>
      <c r="E48" s="3" t="s">
        <v>21</v>
      </c>
      <c r="F48" s="3">
        <v>74</v>
      </c>
      <c r="G48" s="5">
        <v>592</v>
      </c>
    </row>
    <row r="49" spans="1:7" x14ac:dyDescent="0.25">
      <c r="A49" s="4">
        <v>46278</v>
      </c>
      <c r="B49" s="2">
        <f t="shared" si="1"/>
        <v>46278</v>
      </c>
      <c r="C49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W23 (12/9 - 18/9)</v>
      </c>
      <c r="D49" s="3" t="s">
        <v>29</v>
      </c>
      <c r="E49" s="3" t="s">
        <v>21</v>
      </c>
      <c r="F49" s="3">
        <v>49</v>
      </c>
      <c r="G49" s="5">
        <v>392</v>
      </c>
    </row>
    <row r="50" spans="1:7" x14ac:dyDescent="0.25">
      <c r="A50" s="4">
        <v>46279</v>
      </c>
      <c r="B50" s="2">
        <f t="shared" si="1"/>
        <v>46279</v>
      </c>
      <c r="C50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W23 (12/9 - 18/9)</v>
      </c>
      <c r="D50" s="3" t="s">
        <v>29</v>
      </c>
      <c r="E50" s="3" t="s">
        <v>21</v>
      </c>
      <c r="F50" s="3">
        <v>73</v>
      </c>
      <c r="G50" s="5">
        <v>584</v>
      </c>
    </row>
    <row r="51" spans="1:7" x14ac:dyDescent="0.25">
      <c r="A51" s="4">
        <v>46280</v>
      </c>
      <c r="B51" s="2">
        <f t="shared" si="1"/>
        <v>46280</v>
      </c>
      <c r="C51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W23 (12/9 - 18/9)</v>
      </c>
      <c r="D51" s="3" t="s">
        <v>29</v>
      </c>
      <c r="E51" s="3" t="s">
        <v>21</v>
      </c>
      <c r="F51" s="3">
        <v>81</v>
      </c>
      <c r="G51" s="5">
        <v>648</v>
      </c>
    </row>
    <row r="52" spans="1:7" x14ac:dyDescent="0.25">
      <c r="A52" s="4">
        <v>46281</v>
      </c>
      <c r="B52" s="2">
        <f t="shared" si="1"/>
        <v>46281</v>
      </c>
      <c r="C52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W23 (12/9 - 18/9)</v>
      </c>
      <c r="D52" s="3" t="s">
        <v>29</v>
      </c>
      <c r="E52" s="3" t="s">
        <v>21</v>
      </c>
      <c r="F52" s="3">
        <v>58</v>
      </c>
      <c r="G52" s="5">
        <v>464</v>
      </c>
    </row>
    <row r="53" spans="1:7" x14ac:dyDescent="0.25">
      <c r="A53" s="4">
        <v>46282</v>
      </c>
      <c r="B53" s="2">
        <f t="shared" si="1"/>
        <v>46282</v>
      </c>
      <c r="C53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W23 (12/9 - 18/9)</v>
      </c>
      <c r="D53" s="3" t="s">
        <v>29</v>
      </c>
      <c r="E53" s="3" t="s">
        <v>21</v>
      </c>
      <c r="F53" s="3">
        <v>86</v>
      </c>
      <c r="G53" s="5">
        <v>688</v>
      </c>
    </row>
    <row r="54" spans="1:7" x14ac:dyDescent="0.25">
      <c r="A54" s="4">
        <v>46283</v>
      </c>
      <c r="B54" s="2">
        <f t="shared" si="1"/>
        <v>46283</v>
      </c>
      <c r="C54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W23 (12/9 - 18/9)</v>
      </c>
      <c r="D54" s="3" t="s">
        <v>29</v>
      </c>
      <c r="E54" s="3" t="s">
        <v>21</v>
      </c>
      <c r="F54" s="3">
        <v>87</v>
      </c>
      <c r="G54" s="5">
        <v>696</v>
      </c>
    </row>
    <row r="55" spans="1:7" x14ac:dyDescent="0.25">
      <c r="A55" s="4">
        <v>46284</v>
      </c>
      <c r="B55" s="2">
        <f t="shared" si="1"/>
        <v>46284</v>
      </c>
      <c r="C55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W24 (19/9 - 25/9)</v>
      </c>
      <c r="D55" s="3" t="s">
        <v>29</v>
      </c>
      <c r="E55" s="3" t="s">
        <v>21</v>
      </c>
      <c r="F55" s="3">
        <v>86</v>
      </c>
      <c r="G55" s="5">
        <v>688</v>
      </c>
    </row>
    <row r="56" spans="1:7" x14ac:dyDescent="0.25">
      <c r="A56" s="4">
        <v>46285</v>
      </c>
      <c r="B56" s="2">
        <f t="shared" si="1"/>
        <v>46285</v>
      </c>
      <c r="C56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W24 (19/9 - 25/9)</v>
      </c>
      <c r="D56" s="3" t="s">
        <v>29</v>
      </c>
      <c r="E56" s="3" t="s">
        <v>21</v>
      </c>
      <c r="F56" s="3">
        <v>50</v>
      </c>
      <c r="G56" s="5">
        <v>400</v>
      </c>
    </row>
    <row r="57" spans="1:7" x14ac:dyDescent="0.25">
      <c r="A57" s="4">
        <v>46286</v>
      </c>
      <c r="B57" s="2">
        <f t="shared" si="1"/>
        <v>46286</v>
      </c>
      <c r="C57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W24 (19/9 - 25/9)</v>
      </c>
      <c r="D57" s="3" t="s">
        <v>29</v>
      </c>
      <c r="E57" s="3" t="s">
        <v>21</v>
      </c>
      <c r="F57" s="3">
        <v>89</v>
      </c>
      <c r="G57" s="5">
        <v>712</v>
      </c>
    </row>
    <row r="58" spans="1:7" x14ac:dyDescent="0.25">
      <c r="A58" s="4">
        <v>46287</v>
      </c>
      <c r="B58" s="2">
        <f t="shared" si="1"/>
        <v>46287</v>
      </c>
      <c r="C58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W24 (19/9 - 25/9)</v>
      </c>
      <c r="D58" s="3" t="s">
        <v>29</v>
      </c>
      <c r="E58" s="3" t="s">
        <v>21</v>
      </c>
      <c r="F58" s="3">
        <v>85</v>
      </c>
      <c r="G58" s="5">
        <v>680</v>
      </c>
    </row>
    <row r="59" spans="1:7" x14ac:dyDescent="0.25">
      <c r="A59" s="4">
        <v>46288</v>
      </c>
      <c r="B59" s="2">
        <f t="shared" si="1"/>
        <v>46288</v>
      </c>
      <c r="C59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W24 (19/9 - 25/9)</v>
      </c>
      <c r="D59" s="3" t="s">
        <v>29</v>
      </c>
      <c r="E59" s="3" t="s">
        <v>21</v>
      </c>
      <c r="F59" s="3">
        <v>87</v>
      </c>
      <c r="G59" s="5">
        <v>696</v>
      </c>
    </row>
    <row r="60" spans="1:7" x14ac:dyDescent="0.25">
      <c r="A60" s="4">
        <v>46289</v>
      </c>
      <c r="B60" s="2">
        <f t="shared" si="1"/>
        <v>46289</v>
      </c>
      <c r="C60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W24 (19/9 - 25/9)</v>
      </c>
      <c r="D60" s="3" t="s">
        <v>29</v>
      </c>
      <c r="E60" s="3" t="s">
        <v>21</v>
      </c>
      <c r="F60" s="3">
        <v>89</v>
      </c>
      <c r="G60" s="5">
        <v>712</v>
      </c>
    </row>
    <row r="61" spans="1:7" x14ac:dyDescent="0.25">
      <c r="A61" s="4">
        <v>46290</v>
      </c>
      <c r="B61" s="2">
        <f t="shared" si="1"/>
        <v>46290</v>
      </c>
      <c r="C61" s="3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W24 (19/9 - 25/9)</v>
      </c>
      <c r="D61" s="3" t="s">
        <v>29</v>
      </c>
      <c r="E61" s="3" t="s">
        <v>21</v>
      </c>
      <c r="F61" s="3">
        <v>88</v>
      </c>
      <c r="G61" s="5">
        <v>704</v>
      </c>
    </row>
    <row r="62" spans="1:7" x14ac:dyDescent="0.25">
      <c r="A62" s="46">
        <v>46291</v>
      </c>
      <c r="B62" s="2">
        <f t="shared" si="1"/>
        <v>46291</v>
      </c>
      <c r="C62" s="47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W25 (26/9 - 2/10)</v>
      </c>
      <c r="D62" s="3" t="s">
        <v>29</v>
      </c>
      <c r="E62" s="3" t="s">
        <v>21</v>
      </c>
      <c r="F62" s="3">
        <v>78</v>
      </c>
      <c r="G62" s="5">
        <v>624</v>
      </c>
    </row>
    <row r="63" spans="1:7" x14ac:dyDescent="0.25">
      <c r="A63" s="46">
        <v>46292</v>
      </c>
      <c r="B63" s="2">
        <f t="shared" si="1"/>
        <v>46292</v>
      </c>
      <c r="C63" s="47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W25 (26/9 - 2/10)</v>
      </c>
      <c r="D63" s="3" t="s">
        <v>29</v>
      </c>
      <c r="E63" s="3" t="s">
        <v>21</v>
      </c>
      <c r="F63" s="3">
        <v>88</v>
      </c>
      <c r="G63" s="5">
        <v>704</v>
      </c>
    </row>
    <row r="64" spans="1:7" x14ac:dyDescent="0.25">
      <c r="A64" s="46">
        <v>46293</v>
      </c>
      <c r="B64" s="2">
        <f t="shared" si="1"/>
        <v>46293</v>
      </c>
      <c r="C64" s="47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W25 (26/9 - 2/10)</v>
      </c>
      <c r="D64" s="3" t="s">
        <v>29</v>
      </c>
      <c r="E64" s="3" t="s">
        <v>21</v>
      </c>
      <c r="F64" s="3">
        <v>88</v>
      </c>
      <c r="G64" s="5">
        <v>704</v>
      </c>
    </row>
    <row r="65" spans="1:7" x14ac:dyDescent="0.25">
      <c r="A65" s="46">
        <v>46294</v>
      </c>
      <c r="B65" s="2">
        <f t="shared" si="1"/>
        <v>46294</v>
      </c>
      <c r="C65" s="47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W25 (26/9 - 2/10)</v>
      </c>
      <c r="D65" s="3" t="s">
        <v>29</v>
      </c>
      <c r="E65" s="3" t="s">
        <v>21</v>
      </c>
      <c r="F65" s="3">
        <v>96</v>
      </c>
      <c r="G65" s="5">
        <v>768</v>
      </c>
    </row>
    <row r="66" spans="1:7" x14ac:dyDescent="0.25">
      <c r="A66" s="46">
        <v>46295</v>
      </c>
      <c r="B66" s="2">
        <f t="shared" si="1"/>
        <v>46295</v>
      </c>
      <c r="C66" s="47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W25 (26/9 - 2/10)</v>
      </c>
      <c r="D66" s="3" t="s">
        <v>29</v>
      </c>
      <c r="E66" s="3" t="s">
        <v>21</v>
      </c>
      <c r="F66" s="3">
        <v>96</v>
      </c>
      <c r="G66" s="5">
        <v>768</v>
      </c>
    </row>
    <row r="67" spans="1:7" x14ac:dyDescent="0.25">
      <c r="A67" s="46">
        <v>46296</v>
      </c>
      <c r="B67" s="2">
        <f t="shared" si="1"/>
        <v>46296</v>
      </c>
      <c r="C67" s="47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W25 (26/9 - 2/10)</v>
      </c>
      <c r="D67" s="3" t="s">
        <v>29</v>
      </c>
      <c r="E67" s="3" t="s">
        <v>21</v>
      </c>
      <c r="F67" s="3">
        <v>99</v>
      </c>
      <c r="G67" s="5">
        <v>792</v>
      </c>
    </row>
    <row r="68" spans="1:7" x14ac:dyDescent="0.25">
      <c r="A68" s="48">
        <v>46297</v>
      </c>
      <c r="B68" s="10">
        <f t="shared" si="1"/>
        <v>46297</v>
      </c>
      <c r="C68" s="49" t="str">
        <f>IF([1]!ANTARAKOH[[#This Row],[DATE]]&lt;DATE(2026,4,11),"0",_xlfn.LET(
_xlpm.W,INT(([1]!ANTARAKOH[[#This Row],[DATE]]-DATE(2026,4,11))/7)+1,
_xlpm.S,DATE(2026,4,11)+(_xlpm.W-1)*7,
_xlpm.E,_xlpm.S+6,
"W"&amp;TEXT(_xlpm.W,"00")&amp;" ("&amp;TEXT(_xlpm.S,"d/m")&amp;" - "&amp;TEXT(_xlpm.E,"d/m")&amp;")"
))</f>
        <v>W25 (26/9 - 2/10)</v>
      </c>
      <c r="D68" s="11" t="s">
        <v>29</v>
      </c>
      <c r="E68" s="11" t="s">
        <v>21</v>
      </c>
      <c r="F68" s="11">
        <v>106</v>
      </c>
      <c r="G68" s="12">
        <v>848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5:G68"/>
  <sheetViews>
    <sheetView topLeftCell="A25" zoomScaleNormal="100" workbookViewId="0">
      <selection activeCell="A60" sqref="A60:G68"/>
    </sheetView>
  </sheetViews>
  <sheetFormatPr defaultColWidth="8.85546875" defaultRowHeight="12.75" x14ac:dyDescent="0.25"/>
  <cols>
    <col min="1" max="1" width="18.7109375" style="1" customWidth="1"/>
    <col min="2" max="2" width="13.7109375" style="1" customWidth="1"/>
    <col min="3" max="3" width="17.85546875" style="1" bestFit="1" customWidth="1"/>
    <col min="4" max="7" width="21.85546875" style="1" customWidth="1"/>
    <col min="8" max="8" width="8.85546875" style="1" customWidth="1"/>
    <col min="9" max="16384" width="8.85546875" style="1"/>
  </cols>
  <sheetData>
    <row r="5" spans="1:7" x14ac:dyDescent="0.25">
      <c r="A5" s="6" t="s">
        <v>0</v>
      </c>
      <c r="B5" s="7" t="s">
        <v>1</v>
      </c>
      <c r="C5" s="7" t="s">
        <v>2</v>
      </c>
      <c r="D5" s="7" t="s">
        <v>12</v>
      </c>
      <c r="E5" s="7" t="s">
        <v>13</v>
      </c>
      <c r="F5" s="7" t="s">
        <v>14</v>
      </c>
      <c r="G5" s="8" t="s">
        <v>15</v>
      </c>
    </row>
    <row r="6" spans="1:7" x14ac:dyDescent="0.25">
      <c r="A6" s="4">
        <v>46235</v>
      </c>
      <c r="B6" s="2">
        <f t="shared" ref="B6:B37" si="0">A6</f>
        <v>46235</v>
      </c>
      <c r="C6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W17 (1/8 - 7/8)</v>
      </c>
      <c r="D6" s="3" t="s">
        <v>30</v>
      </c>
      <c r="E6" s="3" t="s">
        <v>21</v>
      </c>
      <c r="F6" s="3"/>
      <c r="G6" s="5"/>
    </row>
    <row r="7" spans="1:7" x14ac:dyDescent="0.25">
      <c r="A7" s="4">
        <v>46236</v>
      </c>
      <c r="B7" s="2">
        <f t="shared" si="0"/>
        <v>46236</v>
      </c>
      <c r="C7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W17 (1/8 - 7/8)</v>
      </c>
      <c r="D7" s="3" t="s">
        <v>30</v>
      </c>
      <c r="E7" s="3" t="s">
        <v>21</v>
      </c>
      <c r="F7" s="3"/>
      <c r="G7" s="5"/>
    </row>
    <row r="8" spans="1:7" x14ac:dyDescent="0.25">
      <c r="A8" s="4">
        <v>46237</v>
      </c>
      <c r="B8" s="2">
        <f t="shared" si="0"/>
        <v>46237</v>
      </c>
      <c r="C8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W17 (1/8 - 7/8)</v>
      </c>
      <c r="D8" s="3" t="s">
        <v>30</v>
      </c>
      <c r="E8" s="3" t="s">
        <v>21</v>
      </c>
      <c r="F8" s="3"/>
      <c r="G8" s="5"/>
    </row>
    <row r="9" spans="1:7" x14ac:dyDescent="0.25">
      <c r="A9" s="4">
        <v>46238</v>
      </c>
      <c r="B9" s="2">
        <f t="shared" si="0"/>
        <v>46238</v>
      </c>
      <c r="C9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W17 (1/8 - 7/8)</v>
      </c>
      <c r="D9" s="3" t="s">
        <v>30</v>
      </c>
      <c r="E9" s="3" t="s">
        <v>21</v>
      </c>
      <c r="F9" s="3"/>
      <c r="G9" s="5"/>
    </row>
    <row r="10" spans="1:7" x14ac:dyDescent="0.25">
      <c r="A10" s="4">
        <v>46239</v>
      </c>
      <c r="B10" s="2">
        <f t="shared" si="0"/>
        <v>46239</v>
      </c>
      <c r="C10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W17 (1/8 - 7/8)</v>
      </c>
      <c r="D10" s="3" t="s">
        <v>30</v>
      </c>
      <c r="E10" s="3" t="s">
        <v>21</v>
      </c>
      <c r="F10" s="3"/>
      <c r="G10" s="5"/>
    </row>
    <row r="11" spans="1:7" x14ac:dyDescent="0.25">
      <c r="A11" s="4">
        <v>46240</v>
      </c>
      <c r="B11" s="2">
        <f t="shared" si="0"/>
        <v>46240</v>
      </c>
      <c r="C11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W17 (1/8 - 7/8)</v>
      </c>
      <c r="D11" s="3" t="s">
        <v>30</v>
      </c>
      <c r="E11" s="3" t="s">
        <v>21</v>
      </c>
      <c r="F11" s="3"/>
      <c r="G11" s="5"/>
    </row>
    <row r="12" spans="1:7" x14ac:dyDescent="0.25">
      <c r="A12" s="4">
        <v>46241</v>
      </c>
      <c r="B12" s="2">
        <f t="shared" si="0"/>
        <v>46241</v>
      </c>
      <c r="C12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W17 (1/8 - 7/8)</v>
      </c>
      <c r="D12" s="3" t="s">
        <v>30</v>
      </c>
      <c r="E12" s="3" t="s">
        <v>21</v>
      </c>
      <c r="F12" s="3"/>
      <c r="G12" s="5"/>
    </row>
    <row r="13" spans="1:7" x14ac:dyDescent="0.25">
      <c r="A13" s="4">
        <v>46242</v>
      </c>
      <c r="B13" s="2">
        <f t="shared" si="0"/>
        <v>46242</v>
      </c>
      <c r="C13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W18 (8/8 - 14/8)</v>
      </c>
      <c r="D13" s="3" t="s">
        <v>30</v>
      </c>
      <c r="E13" s="3" t="s">
        <v>21</v>
      </c>
      <c r="F13" s="3"/>
      <c r="G13" s="5"/>
    </row>
    <row r="14" spans="1:7" x14ac:dyDescent="0.25">
      <c r="A14" s="4">
        <v>46243</v>
      </c>
      <c r="B14" s="2">
        <f t="shared" si="0"/>
        <v>46243</v>
      </c>
      <c r="C14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W18 (8/8 - 14/8)</v>
      </c>
      <c r="D14" s="3" t="s">
        <v>30</v>
      </c>
      <c r="E14" s="3" t="s">
        <v>21</v>
      </c>
      <c r="F14" s="3"/>
      <c r="G14" s="5"/>
    </row>
    <row r="15" spans="1:7" x14ac:dyDescent="0.25">
      <c r="A15" s="4">
        <v>46244</v>
      </c>
      <c r="B15" s="2">
        <f t="shared" si="0"/>
        <v>46244</v>
      </c>
      <c r="C15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W18 (8/8 - 14/8)</v>
      </c>
      <c r="D15" s="3" t="s">
        <v>30</v>
      </c>
      <c r="E15" s="3" t="s">
        <v>21</v>
      </c>
      <c r="F15" s="3"/>
      <c r="G15" s="5"/>
    </row>
    <row r="16" spans="1:7" x14ac:dyDescent="0.25">
      <c r="A16" s="4">
        <v>46245</v>
      </c>
      <c r="B16" s="2">
        <f t="shared" si="0"/>
        <v>46245</v>
      </c>
      <c r="C16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W18 (8/8 - 14/8)</v>
      </c>
      <c r="D16" s="3" t="s">
        <v>30</v>
      </c>
      <c r="E16" s="3" t="s">
        <v>21</v>
      </c>
      <c r="F16" s="3"/>
      <c r="G16" s="5"/>
    </row>
    <row r="17" spans="1:7" x14ac:dyDescent="0.25">
      <c r="A17" s="4">
        <v>46246</v>
      </c>
      <c r="B17" s="2">
        <f t="shared" si="0"/>
        <v>46246</v>
      </c>
      <c r="C17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W18 (8/8 - 14/8)</v>
      </c>
      <c r="D17" s="3" t="s">
        <v>30</v>
      </c>
      <c r="E17" s="3" t="s">
        <v>21</v>
      </c>
      <c r="F17" s="3"/>
      <c r="G17" s="5"/>
    </row>
    <row r="18" spans="1:7" x14ac:dyDescent="0.25">
      <c r="A18" s="4">
        <v>46247</v>
      </c>
      <c r="B18" s="2">
        <f t="shared" si="0"/>
        <v>46247</v>
      </c>
      <c r="C18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W18 (8/8 - 14/8)</v>
      </c>
      <c r="D18" s="3" t="s">
        <v>30</v>
      </c>
      <c r="E18" s="3" t="s">
        <v>21</v>
      </c>
      <c r="F18" s="3"/>
      <c r="G18" s="5"/>
    </row>
    <row r="19" spans="1:7" x14ac:dyDescent="0.25">
      <c r="A19" s="4">
        <v>46248</v>
      </c>
      <c r="B19" s="2">
        <f t="shared" si="0"/>
        <v>46248</v>
      </c>
      <c r="C19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W18 (8/8 - 14/8)</v>
      </c>
      <c r="D19" s="3" t="s">
        <v>30</v>
      </c>
      <c r="E19" s="3" t="s">
        <v>21</v>
      </c>
      <c r="F19" s="3"/>
      <c r="G19" s="5"/>
    </row>
    <row r="20" spans="1:7" x14ac:dyDescent="0.25">
      <c r="A20" s="4">
        <v>46249</v>
      </c>
      <c r="B20" s="2">
        <f t="shared" si="0"/>
        <v>46249</v>
      </c>
      <c r="C20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W19 (15/8 - 21/8)</v>
      </c>
      <c r="D20" s="3" t="s">
        <v>30</v>
      </c>
      <c r="E20" s="3" t="s">
        <v>21</v>
      </c>
      <c r="F20" s="3"/>
      <c r="G20" s="5"/>
    </row>
    <row r="21" spans="1:7" x14ac:dyDescent="0.25">
      <c r="A21" s="4">
        <v>46250</v>
      </c>
      <c r="B21" s="2">
        <f t="shared" si="0"/>
        <v>46250</v>
      </c>
      <c r="C21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W19 (15/8 - 21/8)</v>
      </c>
      <c r="D21" s="3" t="s">
        <v>30</v>
      </c>
      <c r="E21" s="3" t="s">
        <v>21</v>
      </c>
      <c r="F21" s="3"/>
      <c r="G21" s="5"/>
    </row>
    <row r="22" spans="1:7" x14ac:dyDescent="0.25">
      <c r="A22" s="4">
        <v>46251</v>
      </c>
      <c r="B22" s="2">
        <f t="shared" si="0"/>
        <v>46251</v>
      </c>
      <c r="C22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W19 (15/8 - 21/8)</v>
      </c>
      <c r="D22" s="3" t="s">
        <v>30</v>
      </c>
      <c r="E22" s="3" t="s">
        <v>21</v>
      </c>
      <c r="F22" s="3"/>
      <c r="G22" s="5"/>
    </row>
    <row r="23" spans="1:7" x14ac:dyDescent="0.25">
      <c r="A23" s="4">
        <v>46252</v>
      </c>
      <c r="B23" s="2">
        <f t="shared" si="0"/>
        <v>46252</v>
      </c>
      <c r="C23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W19 (15/8 - 21/8)</v>
      </c>
      <c r="D23" s="3" t="s">
        <v>30</v>
      </c>
      <c r="E23" s="3" t="s">
        <v>21</v>
      </c>
      <c r="F23" s="3"/>
      <c r="G23" s="5"/>
    </row>
    <row r="24" spans="1:7" x14ac:dyDescent="0.25">
      <c r="A24" s="4">
        <v>46253</v>
      </c>
      <c r="B24" s="2">
        <f t="shared" si="0"/>
        <v>46253</v>
      </c>
      <c r="C24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W19 (15/8 - 21/8)</v>
      </c>
      <c r="D24" s="3" t="s">
        <v>30</v>
      </c>
      <c r="E24" s="3" t="s">
        <v>21</v>
      </c>
      <c r="F24" s="3"/>
      <c r="G24" s="5"/>
    </row>
    <row r="25" spans="1:7" x14ac:dyDescent="0.25">
      <c r="A25" s="4">
        <v>46254</v>
      </c>
      <c r="B25" s="2">
        <f t="shared" si="0"/>
        <v>46254</v>
      </c>
      <c r="C25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W19 (15/8 - 21/8)</v>
      </c>
      <c r="D25" s="3" t="s">
        <v>30</v>
      </c>
      <c r="E25" s="3" t="s">
        <v>21</v>
      </c>
      <c r="F25" s="3">
        <v>4</v>
      </c>
      <c r="G25" s="5">
        <v>48</v>
      </c>
    </row>
    <row r="26" spans="1:7" x14ac:dyDescent="0.25">
      <c r="A26" s="4">
        <v>46255</v>
      </c>
      <c r="B26" s="2">
        <f t="shared" si="0"/>
        <v>46255</v>
      </c>
      <c r="C26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W19 (15/8 - 21/8)</v>
      </c>
      <c r="D26" s="3" t="s">
        <v>30</v>
      </c>
      <c r="E26" s="3" t="s">
        <v>21</v>
      </c>
      <c r="F26" s="3">
        <v>4</v>
      </c>
      <c r="G26" s="5">
        <v>48</v>
      </c>
    </row>
    <row r="27" spans="1:7" x14ac:dyDescent="0.25">
      <c r="A27" s="4">
        <v>46256</v>
      </c>
      <c r="B27" s="2">
        <f t="shared" si="0"/>
        <v>46256</v>
      </c>
      <c r="C27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W20 (22/8 - 28/8)</v>
      </c>
      <c r="D27" s="3" t="s">
        <v>30</v>
      </c>
      <c r="E27" s="3" t="s">
        <v>21</v>
      </c>
      <c r="F27" s="3">
        <v>4</v>
      </c>
      <c r="G27" s="5">
        <v>48</v>
      </c>
    </row>
    <row r="28" spans="1:7" x14ac:dyDescent="0.25">
      <c r="A28" s="4">
        <v>46257</v>
      </c>
      <c r="B28" s="2">
        <f t="shared" si="0"/>
        <v>46257</v>
      </c>
      <c r="C28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W20 (22/8 - 28/8)</v>
      </c>
      <c r="D28" s="3" t="s">
        <v>30</v>
      </c>
      <c r="E28" s="3" t="s">
        <v>21</v>
      </c>
      <c r="F28" s="3">
        <v>4</v>
      </c>
      <c r="G28" s="5">
        <v>48</v>
      </c>
    </row>
    <row r="29" spans="1:7" x14ac:dyDescent="0.25">
      <c r="A29" s="4">
        <v>46258</v>
      </c>
      <c r="B29" s="2">
        <f t="shared" si="0"/>
        <v>46258</v>
      </c>
      <c r="C29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W20 (22/8 - 28/8)</v>
      </c>
      <c r="D29" s="3" t="s">
        <v>30</v>
      </c>
      <c r="E29" s="3" t="s">
        <v>21</v>
      </c>
      <c r="F29" s="3">
        <v>4</v>
      </c>
      <c r="G29" s="5">
        <v>48</v>
      </c>
    </row>
    <row r="30" spans="1:7" x14ac:dyDescent="0.25">
      <c r="A30" s="4">
        <v>46259</v>
      </c>
      <c r="B30" s="2">
        <f t="shared" si="0"/>
        <v>46259</v>
      </c>
      <c r="C30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W20 (22/8 - 28/8)</v>
      </c>
      <c r="D30" s="3" t="s">
        <v>30</v>
      </c>
      <c r="E30" s="3" t="s">
        <v>21</v>
      </c>
      <c r="F30" s="3">
        <v>4</v>
      </c>
      <c r="G30" s="5">
        <v>48</v>
      </c>
    </row>
    <row r="31" spans="1:7" x14ac:dyDescent="0.25">
      <c r="A31" s="4">
        <v>46260</v>
      </c>
      <c r="B31" s="2">
        <f t="shared" si="0"/>
        <v>46260</v>
      </c>
      <c r="C31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W20 (22/8 - 28/8)</v>
      </c>
      <c r="D31" s="3" t="s">
        <v>30</v>
      </c>
      <c r="E31" s="3" t="s">
        <v>21</v>
      </c>
      <c r="F31" s="3">
        <v>4</v>
      </c>
      <c r="G31" s="5">
        <v>48</v>
      </c>
    </row>
    <row r="32" spans="1:7" x14ac:dyDescent="0.25">
      <c r="A32" s="4">
        <v>46261</v>
      </c>
      <c r="B32" s="2">
        <f t="shared" si="0"/>
        <v>46261</v>
      </c>
      <c r="C32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W20 (22/8 - 28/8)</v>
      </c>
      <c r="D32" s="3" t="s">
        <v>30</v>
      </c>
      <c r="E32" s="3" t="s">
        <v>21</v>
      </c>
      <c r="F32" s="3">
        <v>4</v>
      </c>
      <c r="G32" s="5">
        <v>48</v>
      </c>
    </row>
    <row r="33" spans="1:7" x14ac:dyDescent="0.25">
      <c r="A33" s="4">
        <v>46262</v>
      </c>
      <c r="B33" s="2">
        <f t="shared" si="0"/>
        <v>46262</v>
      </c>
      <c r="C33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W20 (22/8 - 28/8)</v>
      </c>
      <c r="D33" s="3" t="s">
        <v>30</v>
      </c>
      <c r="E33" s="3" t="s">
        <v>21</v>
      </c>
      <c r="F33" s="3">
        <v>4</v>
      </c>
      <c r="G33" s="5">
        <v>48</v>
      </c>
    </row>
    <row r="34" spans="1:7" x14ac:dyDescent="0.25">
      <c r="A34" s="4">
        <v>46263</v>
      </c>
      <c r="B34" s="2">
        <f t="shared" si="0"/>
        <v>46263</v>
      </c>
      <c r="C34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W21 (29/8 - 4/9)</v>
      </c>
      <c r="D34" s="3" t="s">
        <v>30</v>
      </c>
      <c r="E34" s="3" t="s">
        <v>21</v>
      </c>
      <c r="F34" s="3">
        <v>4</v>
      </c>
      <c r="G34" s="5">
        <v>48</v>
      </c>
    </row>
    <row r="35" spans="1:7" x14ac:dyDescent="0.25">
      <c r="A35" s="4">
        <v>46264</v>
      </c>
      <c r="B35" s="2">
        <f t="shared" si="0"/>
        <v>46264</v>
      </c>
      <c r="C35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W21 (29/8 - 4/9)</v>
      </c>
      <c r="D35" s="3" t="s">
        <v>30</v>
      </c>
      <c r="E35" s="3" t="s">
        <v>21</v>
      </c>
      <c r="F35" s="3">
        <v>4</v>
      </c>
      <c r="G35" s="5">
        <v>48</v>
      </c>
    </row>
    <row r="36" spans="1:7" x14ac:dyDescent="0.25">
      <c r="A36" s="4">
        <v>46265</v>
      </c>
      <c r="B36" s="10">
        <f t="shared" si="0"/>
        <v>46265</v>
      </c>
      <c r="C36" s="11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W21 (29/8 - 4/9)</v>
      </c>
      <c r="D36" s="3" t="s">
        <v>30</v>
      </c>
      <c r="E36" s="3" t="s">
        <v>21</v>
      </c>
      <c r="F36" s="3">
        <v>4</v>
      </c>
      <c r="G36" s="5">
        <v>48</v>
      </c>
    </row>
    <row r="37" spans="1:7" x14ac:dyDescent="0.25">
      <c r="A37" s="4">
        <v>46266</v>
      </c>
      <c r="B37" s="2">
        <f t="shared" si="0"/>
        <v>46266</v>
      </c>
      <c r="C37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W21 (29/8 - 4/9)</v>
      </c>
      <c r="D37" s="3" t="s">
        <v>30</v>
      </c>
      <c r="E37" s="3" t="s">
        <v>21</v>
      </c>
      <c r="F37" s="3">
        <v>4</v>
      </c>
      <c r="G37" s="5">
        <v>48</v>
      </c>
    </row>
    <row r="38" spans="1:7" x14ac:dyDescent="0.25">
      <c r="A38" s="4">
        <v>46267</v>
      </c>
      <c r="B38" s="2">
        <f t="shared" ref="B38:B69" si="1">A38</f>
        <v>46267</v>
      </c>
      <c r="C38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W21 (29/8 - 4/9)</v>
      </c>
      <c r="D38" s="3" t="s">
        <v>30</v>
      </c>
      <c r="E38" s="3" t="s">
        <v>21</v>
      </c>
      <c r="F38" s="3">
        <v>4</v>
      </c>
      <c r="G38" s="5">
        <v>48</v>
      </c>
    </row>
    <row r="39" spans="1:7" x14ac:dyDescent="0.25">
      <c r="A39" s="4">
        <v>46268</v>
      </c>
      <c r="B39" s="2">
        <f t="shared" si="1"/>
        <v>46268</v>
      </c>
      <c r="C39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W21 (29/8 - 4/9)</v>
      </c>
      <c r="D39" s="3" t="s">
        <v>30</v>
      </c>
      <c r="E39" s="3" t="s">
        <v>21</v>
      </c>
      <c r="F39" s="3">
        <v>4</v>
      </c>
      <c r="G39" s="5">
        <v>48</v>
      </c>
    </row>
    <row r="40" spans="1:7" x14ac:dyDescent="0.25">
      <c r="A40" s="4">
        <v>46269</v>
      </c>
      <c r="B40" s="2">
        <f t="shared" si="1"/>
        <v>46269</v>
      </c>
      <c r="C40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W21 (29/8 - 4/9)</v>
      </c>
      <c r="D40" s="3" t="s">
        <v>30</v>
      </c>
      <c r="E40" s="3" t="s">
        <v>21</v>
      </c>
      <c r="F40" s="3">
        <v>4</v>
      </c>
      <c r="G40" s="5">
        <v>48</v>
      </c>
    </row>
    <row r="41" spans="1:7" x14ac:dyDescent="0.25">
      <c r="A41" s="4">
        <v>46270</v>
      </c>
      <c r="B41" s="2">
        <f t="shared" si="1"/>
        <v>46270</v>
      </c>
      <c r="C41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W22 (5/9 - 11/9)</v>
      </c>
      <c r="D41" s="3" t="s">
        <v>30</v>
      </c>
      <c r="E41" s="3" t="s">
        <v>21</v>
      </c>
      <c r="F41" s="3">
        <v>4</v>
      </c>
      <c r="G41" s="5">
        <v>48</v>
      </c>
    </row>
    <row r="42" spans="1:7" x14ac:dyDescent="0.25">
      <c r="A42" s="4">
        <v>46271</v>
      </c>
      <c r="B42" s="2">
        <f t="shared" si="1"/>
        <v>46271</v>
      </c>
      <c r="C42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W22 (5/9 - 11/9)</v>
      </c>
      <c r="D42" s="3" t="s">
        <v>30</v>
      </c>
      <c r="E42" s="3" t="s">
        <v>21</v>
      </c>
      <c r="F42" s="3">
        <v>4</v>
      </c>
      <c r="G42" s="5">
        <v>48</v>
      </c>
    </row>
    <row r="43" spans="1:7" x14ac:dyDescent="0.25">
      <c r="A43" s="4">
        <v>46272</v>
      </c>
      <c r="B43" s="2">
        <f t="shared" si="1"/>
        <v>46272</v>
      </c>
      <c r="C43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W22 (5/9 - 11/9)</v>
      </c>
      <c r="D43" s="3" t="s">
        <v>30</v>
      </c>
      <c r="E43" s="3" t="s">
        <v>21</v>
      </c>
      <c r="F43" s="3">
        <v>4</v>
      </c>
      <c r="G43" s="5">
        <v>48</v>
      </c>
    </row>
    <row r="44" spans="1:7" x14ac:dyDescent="0.25">
      <c r="A44" s="4">
        <v>46273</v>
      </c>
      <c r="B44" s="2">
        <f t="shared" si="1"/>
        <v>46273</v>
      </c>
      <c r="C44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W22 (5/9 - 11/9)</v>
      </c>
      <c r="D44" s="3" t="s">
        <v>30</v>
      </c>
      <c r="E44" s="3" t="s">
        <v>21</v>
      </c>
      <c r="F44" s="3">
        <v>4</v>
      </c>
      <c r="G44" s="5">
        <v>48</v>
      </c>
    </row>
    <row r="45" spans="1:7" x14ac:dyDescent="0.25">
      <c r="A45" s="4">
        <v>46274</v>
      </c>
      <c r="B45" s="2">
        <f t="shared" si="1"/>
        <v>46274</v>
      </c>
      <c r="C45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W22 (5/9 - 11/9)</v>
      </c>
      <c r="D45" s="3" t="s">
        <v>30</v>
      </c>
      <c r="E45" s="3" t="s">
        <v>21</v>
      </c>
      <c r="F45" s="3">
        <v>4</v>
      </c>
      <c r="G45" s="5">
        <v>48</v>
      </c>
    </row>
    <row r="46" spans="1:7" x14ac:dyDescent="0.25">
      <c r="A46" s="4">
        <v>46275</v>
      </c>
      <c r="B46" s="2">
        <f t="shared" si="1"/>
        <v>46275</v>
      </c>
      <c r="C46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W22 (5/9 - 11/9)</v>
      </c>
      <c r="D46" s="3" t="s">
        <v>30</v>
      </c>
      <c r="E46" s="3" t="s">
        <v>21</v>
      </c>
      <c r="F46" s="3">
        <v>6</v>
      </c>
      <c r="G46" s="5">
        <v>72</v>
      </c>
    </row>
    <row r="47" spans="1:7" x14ac:dyDescent="0.25">
      <c r="A47" s="4">
        <v>46276</v>
      </c>
      <c r="B47" s="2">
        <f t="shared" si="1"/>
        <v>46276</v>
      </c>
      <c r="C47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W22 (5/9 - 11/9)</v>
      </c>
      <c r="D47" s="3" t="s">
        <v>30</v>
      </c>
      <c r="E47" s="3" t="s">
        <v>21</v>
      </c>
      <c r="F47" s="3">
        <v>4</v>
      </c>
      <c r="G47" s="5">
        <v>48</v>
      </c>
    </row>
    <row r="48" spans="1:7" x14ac:dyDescent="0.25">
      <c r="A48" s="4">
        <v>46277</v>
      </c>
      <c r="B48" s="2">
        <f t="shared" si="1"/>
        <v>46277</v>
      </c>
      <c r="C48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W23 (12/9 - 18/9)</v>
      </c>
      <c r="D48" s="3" t="s">
        <v>30</v>
      </c>
      <c r="E48" s="3" t="s">
        <v>21</v>
      </c>
      <c r="F48" s="3">
        <v>4</v>
      </c>
      <c r="G48" s="5">
        <v>48</v>
      </c>
    </row>
    <row r="49" spans="1:7" x14ac:dyDescent="0.25">
      <c r="A49" s="4">
        <v>46278</v>
      </c>
      <c r="B49" s="2">
        <f t="shared" si="1"/>
        <v>46278</v>
      </c>
      <c r="C49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W23 (12/9 - 18/9)</v>
      </c>
      <c r="D49" s="3" t="s">
        <v>30</v>
      </c>
      <c r="E49" s="3" t="s">
        <v>21</v>
      </c>
      <c r="F49" s="3">
        <v>4</v>
      </c>
      <c r="G49" s="5">
        <v>48</v>
      </c>
    </row>
    <row r="50" spans="1:7" x14ac:dyDescent="0.25">
      <c r="A50" s="4">
        <v>46279</v>
      </c>
      <c r="B50" s="2">
        <f t="shared" si="1"/>
        <v>46279</v>
      </c>
      <c r="C50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W23 (12/9 - 18/9)</v>
      </c>
      <c r="D50" s="3" t="s">
        <v>30</v>
      </c>
      <c r="E50" s="3" t="s">
        <v>21</v>
      </c>
      <c r="F50" s="3">
        <v>4</v>
      </c>
      <c r="G50" s="5">
        <v>48</v>
      </c>
    </row>
    <row r="51" spans="1:7" x14ac:dyDescent="0.25">
      <c r="A51" s="4">
        <v>46280</v>
      </c>
      <c r="B51" s="2">
        <f t="shared" si="1"/>
        <v>46280</v>
      </c>
      <c r="C51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W23 (12/9 - 18/9)</v>
      </c>
      <c r="D51" s="3" t="s">
        <v>30</v>
      </c>
      <c r="E51" s="3" t="s">
        <v>21</v>
      </c>
      <c r="F51" s="3">
        <v>4</v>
      </c>
      <c r="G51" s="5">
        <v>48</v>
      </c>
    </row>
    <row r="52" spans="1:7" x14ac:dyDescent="0.25">
      <c r="A52" s="4">
        <v>46281</v>
      </c>
      <c r="B52" s="2">
        <f t="shared" si="1"/>
        <v>46281</v>
      </c>
      <c r="C52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W23 (12/9 - 18/9)</v>
      </c>
      <c r="D52" s="3" t="s">
        <v>30</v>
      </c>
      <c r="E52" s="3" t="s">
        <v>21</v>
      </c>
      <c r="F52" s="3">
        <v>4</v>
      </c>
      <c r="G52" s="5">
        <v>48</v>
      </c>
    </row>
    <row r="53" spans="1:7" x14ac:dyDescent="0.25">
      <c r="A53" s="4">
        <v>46282</v>
      </c>
      <c r="B53" s="2">
        <f t="shared" si="1"/>
        <v>46282</v>
      </c>
      <c r="C53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W23 (12/9 - 18/9)</v>
      </c>
      <c r="D53" s="3" t="s">
        <v>30</v>
      </c>
      <c r="E53" s="3" t="s">
        <v>21</v>
      </c>
      <c r="F53" s="3">
        <v>4</v>
      </c>
      <c r="G53" s="5">
        <v>48</v>
      </c>
    </row>
    <row r="54" spans="1:7" x14ac:dyDescent="0.25">
      <c r="A54" s="4">
        <v>46283</v>
      </c>
      <c r="B54" s="2">
        <f t="shared" si="1"/>
        <v>46283</v>
      </c>
      <c r="C54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W23 (12/9 - 18/9)</v>
      </c>
      <c r="D54" s="3" t="s">
        <v>30</v>
      </c>
      <c r="E54" s="3" t="s">
        <v>21</v>
      </c>
      <c r="F54" s="3">
        <v>4</v>
      </c>
      <c r="G54" s="5">
        <v>48</v>
      </c>
    </row>
    <row r="55" spans="1:7" x14ac:dyDescent="0.25">
      <c r="A55" s="4">
        <v>46284</v>
      </c>
      <c r="B55" s="2">
        <f t="shared" si="1"/>
        <v>46284</v>
      </c>
      <c r="C55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W24 (19/9 - 25/9)</v>
      </c>
      <c r="D55" s="3" t="s">
        <v>30</v>
      </c>
      <c r="E55" s="3" t="s">
        <v>21</v>
      </c>
      <c r="F55" s="3">
        <v>4</v>
      </c>
      <c r="G55" s="5">
        <v>48</v>
      </c>
    </row>
    <row r="56" spans="1:7" x14ac:dyDescent="0.25">
      <c r="A56" s="4">
        <v>46285</v>
      </c>
      <c r="B56" s="2">
        <f t="shared" si="1"/>
        <v>46285</v>
      </c>
      <c r="C56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W24 (19/9 - 25/9)</v>
      </c>
      <c r="D56" s="3" t="s">
        <v>30</v>
      </c>
      <c r="E56" s="3" t="s">
        <v>21</v>
      </c>
      <c r="F56" s="3">
        <v>4</v>
      </c>
      <c r="G56" s="5">
        <v>48</v>
      </c>
    </row>
    <row r="57" spans="1:7" x14ac:dyDescent="0.25">
      <c r="A57" s="4">
        <v>46286</v>
      </c>
      <c r="B57" s="2">
        <f t="shared" si="1"/>
        <v>46286</v>
      </c>
      <c r="C57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W24 (19/9 - 25/9)</v>
      </c>
      <c r="D57" s="3" t="s">
        <v>30</v>
      </c>
      <c r="E57" s="3" t="s">
        <v>21</v>
      </c>
      <c r="F57" s="3">
        <v>4</v>
      </c>
      <c r="G57" s="5">
        <v>48</v>
      </c>
    </row>
    <row r="58" spans="1:7" x14ac:dyDescent="0.25">
      <c r="A58" s="4">
        <v>46287</v>
      </c>
      <c r="B58" s="2">
        <f t="shared" si="1"/>
        <v>46287</v>
      </c>
      <c r="C58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W24 (19/9 - 25/9)</v>
      </c>
      <c r="D58" s="3" t="s">
        <v>30</v>
      </c>
      <c r="E58" s="3" t="s">
        <v>21</v>
      </c>
      <c r="F58" s="3">
        <v>4</v>
      </c>
      <c r="G58" s="5">
        <v>48</v>
      </c>
    </row>
    <row r="59" spans="1:7" x14ac:dyDescent="0.25">
      <c r="A59" s="4">
        <v>46288</v>
      </c>
      <c r="B59" s="2">
        <f t="shared" si="1"/>
        <v>46288</v>
      </c>
      <c r="C59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W24 (19/9 - 25/9)</v>
      </c>
      <c r="D59" s="3" t="s">
        <v>30</v>
      </c>
      <c r="E59" s="3" t="s">
        <v>21</v>
      </c>
      <c r="F59" s="3">
        <v>4</v>
      </c>
      <c r="G59" s="5">
        <v>48</v>
      </c>
    </row>
    <row r="60" spans="1:7" x14ac:dyDescent="0.25">
      <c r="A60" s="4">
        <v>46289</v>
      </c>
      <c r="B60" s="2">
        <f t="shared" si="1"/>
        <v>46289</v>
      </c>
      <c r="C60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W24 (19/9 - 25/9)</v>
      </c>
      <c r="D60" s="3" t="s">
        <v>30</v>
      </c>
      <c r="E60" s="3" t="s">
        <v>21</v>
      </c>
      <c r="F60" s="3">
        <v>4</v>
      </c>
      <c r="G60" s="5">
        <v>48</v>
      </c>
    </row>
    <row r="61" spans="1:7" x14ac:dyDescent="0.25">
      <c r="A61" s="4">
        <v>46290</v>
      </c>
      <c r="B61" s="2">
        <f t="shared" si="1"/>
        <v>46290</v>
      </c>
      <c r="C61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W24 (19/9 - 25/9)</v>
      </c>
      <c r="D61" s="3" t="s">
        <v>30</v>
      </c>
      <c r="E61" s="3" t="s">
        <v>21</v>
      </c>
      <c r="F61" s="3">
        <v>4</v>
      </c>
      <c r="G61" s="5">
        <v>48</v>
      </c>
    </row>
    <row r="62" spans="1:7" x14ac:dyDescent="0.25">
      <c r="A62" s="4">
        <v>46291</v>
      </c>
      <c r="B62" s="2">
        <f t="shared" si="1"/>
        <v>46291</v>
      </c>
      <c r="C62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W25 (26/9 - 2/10)</v>
      </c>
      <c r="D62" s="3" t="s">
        <v>30</v>
      </c>
      <c r="E62" s="3" t="s">
        <v>21</v>
      </c>
      <c r="F62" s="3">
        <v>4</v>
      </c>
      <c r="G62" s="5">
        <v>48</v>
      </c>
    </row>
    <row r="63" spans="1:7" x14ac:dyDescent="0.25">
      <c r="A63" s="4">
        <v>46292</v>
      </c>
      <c r="B63" s="2">
        <f t="shared" si="1"/>
        <v>46292</v>
      </c>
      <c r="C63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W25 (26/9 - 2/10)</v>
      </c>
      <c r="D63" s="3" t="s">
        <v>30</v>
      </c>
      <c r="E63" s="3" t="s">
        <v>21</v>
      </c>
      <c r="F63" s="3">
        <v>4</v>
      </c>
      <c r="G63" s="5">
        <v>48</v>
      </c>
    </row>
    <row r="64" spans="1:7" x14ac:dyDescent="0.25">
      <c r="A64" s="4">
        <v>46293</v>
      </c>
      <c r="B64" s="2">
        <f t="shared" si="1"/>
        <v>46293</v>
      </c>
      <c r="C64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W25 (26/9 - 2/10)</v>
      </c>
      <c r="D64" s="3" t="s">
        <v>30</v>
      </c>
      <c r="E64" s="3" t="s">
        <v>21</v>
      </c>
      <c r="F64" s="3">
        <v>4</v>
      </c>
      <c r="G64" s="5">
        <v>48</v>
      </c>
    </row>
    <row r="65" spans="1:7" x14ac:dyDescent="0.25">
      <c r="A65" s="4">
        <v>46294</v>
      </c>
      <c r="B65" s="2">
        <f t="shared" si="1"/>
        <v>46294</v>
      </c>
      <c r="C65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W25 (26/9 - 2/10)</v>
      </c>
      <c r="D65" s="3" t="s">
        <v>30</v>
      </c>
      <c r="E65" s="3" t="s">
        <v>21</v>
      </c>
      <c r="F65" s="3">
        <v>4</v>
      </c>
      <c r="G65" s="5">
        <v>48</v>
      </c>
    </row>
    <row r="66" spans="1:7" x14ac:dyDescent="0.25">
      <c r="A66" s="4">
        <v>46295</v>
      </c>
      <c r="B66" s="2">
        <f t="shared" si="1"/>
        <v>46295</v>
      </c>
      <c r="C66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W25 (26/9 - 2/10)</v>
      </c>
      <c r="D66" s="3" t="s">
        <v>30</v>
      </c>
      <c r="E66" s="3" t="s">
        <v>21</v>
      </c>
      <c r="F66" s="3">
        <v>4</v>
      </c>
      <c r="G66" s="5">
        <v>48</v>
      </c>
    </row>
    <row r="67" spans="1:7" x14ac:dyDescent="0.25">
      <c r="A67" s="4">
        <v>46296</v>
      </c>
      <c r="B67" s="2">
        <f t="shared" si="1"/>
        <v>46296</v>
      </c>
      <c r="C67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W25 (26/9 - 2/10)</v>
      </c>
      <c r="D67" s="3" t="s">
        <v>30</v>
      </c>
      <c r="E67" s="3" t="s">
        <v>21</v>
      </c>
      <c r="F67" s="3">
        <v>4</v>
      </c>
      <c r="G67" s="5">
        <v>48</v>
      </c>
    </row>
    <row r="68" spans="1:7" x14ac:dyDescent="0.25">
      <c r="A68" s="4">
        <v>46297</v>
      </c>
      <c r="B68" s="2">
        <f t="shared" si="1"/>
        <v>46297</v>
      </c>
      <c r="C68" s="3" t="str">
        <f>IF(SECURITYBOAT[[#This Row],[DATE]]&lt;DATE(2026,4,11),"0",_xlfn.LET(
_xlpm.W,INT((SECURITYBOAT[[#This Row],[DATE]]-DATE(2026,4,11))/7)+1,
_xlpm.S,DATE(2026,4,11)+(_xlpm.W-1)*7,
_xlpm.E,_xlpm.S+6,
"W"&amp;TEXT(_xlpm.W,"00")&amp;" ("&amp;TEXT(_xlpm.S,"d/m")&amp;" - "&amp;TEXT(_xlpm.E,"d/m")&amp;")"
))</f>
        <v>W25 (26/9 - 2/10)</v>
      </c>
      <c r="D68" s="3" t="s">
        <v>30</v>
      </c>
      <c r="E68" s="3" t="s">
        <v>21</v>
      </c>
      <c r="F68" s="3">
        <v>4</v>
      </c>
      <c r="G68" s="5">
        <v>48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5:G68"/>
  <sheetViews>
    <sheetView topLeftCell="A31" zoomScaleNormal="100" workbookViewId="0">
      <selection activeCell="A60" sqref="A60:G68"/>
    </sheetView>
  </sheetViews>
  <sheetFormatPr defaultColWidth="8.85546875" defaultRowHeight="12.75" x14ac:dyDescent="0.25"/>
  <cols>
    <col min="1" max="1" width="18.7109375" style="1" customWidth="1"/>
    <col min="2" max="2" width="13.7109375" style="1" customWidth="1"/>
    <col min="3" max="3" width="17.85546875" style="1" bestFit="1" customWidth="1"/>
    <col min="4" max="7" width="21.85546875" style="1" customWidth="1"/>
    <col min="8" max="8" width="8.85546875" style="1" customWidth="1"/>
    <col min="9" max="16384" width="8.85546875" style="1"/>
  </cols>
  <sheetData>
    <row r="5" spans="1:7" x14ac:dyDescent="0.25">
      <c r="A5" s="6" t="s">
        <v>0</v>
      </c>
      <c r="B5" s="7" t="s">
        <v>1</v>
      </c>
      <c r="C5" s="7" t="s">
        <v>2</v>
      </c>
      <c r="D5" s="7" t="s">
        <v>12</v>
      </c>
      <c r="E5" s="7" t="s">
        <v>13</v>
      </c>
      <c r="F5" s="7" t="s">
        <v>14</v>
      </c>
      <c r="G5" s="8" t="s">
        <v>15</v>
      </c>
    </row>
    <row r="6" spans="1:7" x14ac:dyDescent="0.25">
      <c r="A6" s="4">
        <v>46235</v>
      </c>
      <c r="B6" s="2">
        <f t="shared" ref="B6:B37" si="0">A6</f>
        <v>46235</v>
      </c>
      <c r="C6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W17 (1/8 - 7/8)</v>
      </c>
      <c r="D6" s="3" t="s">
        <v>31</v>
      </c>
      <c r="E6" s="3" t="s">
        <v>21</v>
      </c>
      <c r="F6" s="3"/>
      <c r="G6" s="5"/>
    </row>
    <row r="7" spans="1:7" x14ac:dyDescent="0.25">
      <c r="A7" s="4">
        <v>46236</v>
      </c>
      <c r="B7" s="2">
        <f t="shared" si="0"/>
        <v>46236</v>
      </c>
      <c r="C7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W17 (1/8 - 7/8)</v>
      </c>
      <c r="D7" s="3" t="s">
        <v>31</v>
      </c>
      <c r="E7" s="3" t="s">
        <v>21</v>
      </c>
      <c r="F7" s="3"/>
      <c r="G7" s="5"/>
    </row>
    <row r="8" spans="1:7" x14ac:dyDescent="0.25">
      <c r="A8" s="4">
        <v>46237</v>
      </c>
      <c r="B8" s="2">
        <f t="shared" si="0"/>
        <v>46237</v>
      </c>
      <c r="C8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W17 (1/8 - 7/8)</v>
      </c>
      <c r="D8" s="3" t="s">
        <v>31</v>
      </c>
      <c r="E8" s="3" t="s">
        <v>21</v>
      </c>
      <c r="F8" s="3"/>
      <c r="G8" s="5"/>
    </row>
    <row r="9" spans="1:7" x14ac:dyDescent="0.25">
      <c r="A9" s="4">
        <v>46238</v>
      </c>
      <c r="B9" s="2">
        <f t="shared" si="0"/>
        <v>46238</v>
      </c>
      <c r="C9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W17 (1/8 - 7/8)</v>
      </c>
      <c r="D9" s="3" t="s">
        <v>31</v>
      </c>
      <c r="E9" s="3" t="s">
        <v>21</v>
      </c>
      <c r="F9" s="3"/>
      <c r="G9" s="5"/>
    </row>
    <row r="10" spans="1:7" x14ac:dyDescent="0.25">
      <c r="A10" s="4">
        <v>46239</v>
      </c>
      <c r="B10" s="2">
        <f t="shared" si="0"/>
        <v>46239</v>
      </c>
      <c r="C10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W17 (1/8 - 7/8)</v>
      </c>
      <c r="D10" s="3" t="s">
        <v>31</v>
      </c>
      <c r="E10" s="3" t="s">
        <v>21</v>
      </c>
      <c r="F10" s="3"/>
      <c r="G10" s="5"/>
    </row>
    <row r="11" spans="1:7" x14ac:dyDescent="0.25">
      <c r="A11" s="4">
        <v>46240</v>
      </c>
      <c r="B11" s="2">
        <f t="shared" si="0"/>
        <v>46240</v>
      </c>
      <c r="C11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W17 (1/8 - 7/8)</v>
      </c>
      <c r="D11" s="3" t="s">
        <v>31</v>
      </c>
      <c r="E11" s="3" t="s">
        <v>21</v>
      </c>
      <c r="F11" s="3"/>
      <c r="G11" s="5"/>
    </row>
    <row r="12" spans="1:7" x14ac:dyDescent="0.25">
      <c r="A12" s="4">
        <v>46241</v>
      </c>
      <c r="B12" s="2">
        <f t="shared" si="0"/>
        <v>46241</v>
      </c>
      <c r="C12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W17 (1/8 - 7/8)</v>
      </c>
      <c r="D12" s="3" t="s">
        <v>31</v>
      </c>
      <c r="E12" s="3" t="s">
        <v>21</v>
      </c>
      <c r="F12" s="3"/>
      <c r="G12" s="5"/>
    </row>
    <row r="13" spans="1:7" x14ac:dyDescent="0.25">
      <c r="A13" s="4">
        <v>46242</v>
      </c>
      <c r="B13" s="2">
        <f t="shared" si="0"/>
        <v>46242</v>
      </c>
      <c r="C13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W18 (8/8 - 14/8)</v>
      </c>
      <c r="D13" s="3" t="s">
        <v>31</v>
      </c>
      <c r="E13" s="3" t="s">
        <v>21</v>
      </c>
      <c r="F13" s="3"/>
      <c r="G13" s="5"/>
    </row>
    <row r="14" spans="1:7" x14ac:dyDescent="0.25">
      <c r="A14" s="4">
        <v>46243</v>
      </c>
      <c r="B14" s="2">
        <f t="shared" si="0"/>
        <v>46243</v>
      </c>
      <c r="C14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W18 (8/8 - 14/8)</v>
      </c>
      <c r="D14" s="3" t="s">
        <v>31</v>
      </c>
      <c r="E14" s="3" t="s">
        <v>21</v>
      </c>
      <c r="F14" s="3"/>
      <c r="G14" s="5"/>
    </row>
    <row r="15" spans="1:7" x14ac:dyDescent="0.25">
      <c r="A15" s="4">
        <v>46244</v>
      </c>
      <c r="B15" s="2">
        <f t="shared" si="0"/>
        <v>46244</v>
      </c>
      <c r="C15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W18 (8/8 - 14/8)</v>
      </c>
      <c r="D15" s="3" t="s">
        <v>31</v>
      </c>
      <c r="E15" s="3" t="s">
        <v>21</v>
      </c>
      <c r="F15" s="3"/>
      <c r="G15" s="5"/>
    </row>
    <row r="16" spans="1:7" x14ac:dyDescent="0.25">
      <c r="A16" s="4">
        <v>46245</v>
      </c>
      <c r="B16" s="2">
        <f t="shared" si="0"/>
        <v>46245</v>
      </c>
      <c r="C16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W18 (8/8 - 14/8)</v>
      </c>
      <c r="D16" s="3" t="s">
        <v>31</v>
      </c>
      <c r="E16" s="3" t="s">
        <v>21</v>
      </c>
      <c r="F16" s="3"/>
      <c r="G16" s="5"/>
    </row>
    <row r="17" spans="1:7" x14ac:dyDescent="0.25">
      <c r="A17" s="4">
        <v>46246</v>
      </c>
      <c r="B17" s="2">
        <f t="shared" si="0"/>
        <v>46246</v>
      </c>
      <c r="C17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W18 (8/8 - 14/8)</v>
      </c>
      <c r="D17" s="3" t="s">
        <v>31</v>
      </c>
      <c r="E17" s="3" t="s">
        <v>21</v>
      </c>
      <c r="F17" s="3"/>
      <c r="G17" s="5"/>
    </row>
    <row r="18" spans="1:7" x14ac:dyDescent="0.25">
      <c r="A18" s="4">
        <v>46247</v>
      </c>
      <c r="B18" s="2">
        <f t="shared" si="0"/>
        <v>46247</v>
      </c>
      <c r="C18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W18 (8/8 - 14/8)</v>
      </c>
      <c r="D18" s="3" t="s">
        <v>31</v>
      </c>
      <c r="E18" s="3" t="s">
        <v>21</v>
      </c>
      <c r="F18" s="3"/>
      <c r="G18" s="5"/>
    </row>
    <row r="19" spans="1:7" x14ac:dyDescent="0.25">
      <c r="A19" s="4">
        <v>46248</v>
      </c>
      <c r="B19" s="2">
        <f t="shared" si="0"/>
        <v>46248</v>
      </c>
      <c r="C19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W18 (8/8 - 14/8)</v>
      </c>
      <c r="D19" s="3" t="s">
        <v>31</v>
      </c>
      <c r="E19" s="3" t="s">
        <v>21</v>
      </c>
      <c r="F19" s="3"/>
      <c r="G19" s="5"/>
    </row>
    <row r="20" spans="1:7" x14ac:dyDescent="0.25">
      <c r="A20" s="4">
        <v>46249</v>
      </c>
      <c r="B20" s="2">
        <f t="shared" si="0"/>
        <v>46249</v>
      </c>
      <c r="C20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W19 (15/8 - 21/8)</v>
      </c>
      <c r="D20" s="3" t="s">
        <v>31</v>
      </c>
      <c r="E20" s="3" t="s">
        <v>21</v>
      </c>
      <c r="F20" s="3"/>
      <c r="G20" s="5"/>
    </row>
    <row r="21" spans="1:7" x14ac:dyDescent="0.25">
      <c r="A21" s="4">
        <v>46250</v>
      </c>
      <c r="B21" s="2">
        <f t="shared" si="0"/>
        <v>46250</v>
      </c>
      <c r="C21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W19 (15/8 - 21/8)</v>
      </c>
      <c r="D21" s="3" t="s">
        <v>31</v>
      </c>
      <c r="E21" s="3" t="s">
        <v>21</v>
      </c>
      <c r="F21" s="3"/>
      <c r="G21" s="5"/>
    </row>
    <row r="22" spans="1:7" x14ac:dyDescent="0.25">
      <c r="A22" s="4">
        <v>46251</v>
      </c>
      <c r="B22" s="2">
        <f t="shared" si="0"/>
        <v>46251</v>
      </c>
      <c r="C22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W19 (15/8 - 21/8)</v>
      </c>
      <c r="D22" s="3" t="s">
        <v>31</v>
      </c>
      <c r="E22" s="3" t="s">
        <v>21</v>
      </c>
      <c r="F22" s="3"/>
      <c r="G22" s="5"/>
    </row>
    <row r="23" spans="1:7" x14ac:dyDescent="0.25">
      <c r="A23" s="4">
        <v>46252</v>
      </c>
      <c r="B23" s="2">
        <f t="shared" si="0"/>
        <v>46252</v>
      </c>
      <c r="C23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W19 (15/8 - 21/8)</v>
      </c>
      <c r="D23" s="3" t="s">
        <v>31</v>
      </c>
      <c r="E23" s="3" t="s">
        <v>21</v>
      </c>
      <c r="F23" s="3"/>
      <c r="G23" s="5"/>
    </row>
    <row r="24" spans="1:7" x14ac:dyDescent="0.25">
      <c r="A24" s="4">
        <v>46253</v>
      </c>
      <c r="B24" s="2">
        <f t="shared" si="0"/>
        <v>46253</v>
      </c>
      <c r="C24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W19 (15/8 - 21/8)</v>
      </c>
      <c r="D24" s="3" t="s">
        <v>31</v>
      </c>
      <c r="E24" s="3" t="s">
        <v>21</v>
      </c>
      <c r="F24" s="3"/>
      <c r="G24" s="5"/>
    </row>
    <row r="25" spans="1:7" x14ac:dyDescent="0.25">
      <c r="A25" s="4">
        <v>46254</v>
      </c>
      <c r="B25" s="2">
        <f t="shared" si="0"/>
        <v>46254</v>
      </c>
      <c r="C25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W19 (15/8 - 21/8)</v>
      </c>
      <c r="D25" s="3" t="s">
        <v>31</v>
      </c>
      <c r="E25" s="3" t="s">
        <v>21</v>
      </c>
      <c r="F25" s="3"/>
      <c r="G25" s="5"/>
    </row>
    <row r="26" spans="1:7" x14ac:dyDescent="0.25">
      <c r="A26" s="4">
        <v>46255</v>
      </c>
      <c r="B26" s="2">
        <f t="shared" si="0"/>
        <v>46255</v>
      </c>
      <c r="C26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W19 (15/8 - 21/8)</v>
      </c>
      <c r="D26" s="3" t="s">
        <v>31</v>
      </c>
      <c r="E26" s="3" t="s">
        <v>21</v>
      </c>
      <c r="F26" s="3"/>
      <c r="G26" s="5"/>
    </row>
    <row r="27" spans="1:7" x14ac:dyDescent="0.25">
      <c r="A27" s="4">
        <v>46256</v>
      </c>
      <c r="B27" s="2">
        <f t="shared" si="0"/>
        <v>46256</v>
      </c>
      <c r="C27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W20 (22/8 - 28/8)</v>
      </c>
      <c r="D27" s="3" t="s">
        <v>31</v>
      </c>
      <c r="E27" s="3" t="s">
        <v>21</v>
      </c>
      <c r="F27" s="3"/>
      <c r="G27" s="5"/>
    </row>
    <row r="28" spans="1:7" x14ac:dyDescent="0.25">
      <c r="A28" s="4">
        <v>46257</v>
      </c>
      <c r="B28" s="2">
        <f t="shared" si="0"/>
        <v>46257</v>
      </c>
      <c r="C28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W20 (22/8 - 28/8)</v>
      </c>
      <c r="D28" s="3" t="s">
        <v>31</v>
      </c>
      <c r="E28" s="3" t="s">
        <v>21</v>
      </c>
      <c r="F28" s="3"/>
      <c r="G28" s="5"/>
    </row>
    <row r="29" spans="1:7" x14ac:dyDescent="0.25">
      <c r="A29" s="4">
        <v>46258</v>
      </c>
      <c r="B29" s="2">
        <f t="shared" si="0"/>
        <v>46258</v>
      </c>
      <c r="C29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W20 (22/8 - 28/8)</v>
      </c>
      <c r="D29" s="3" t="s">
        <v>31</v>
      </c>
      <c r="E29" s="3" t="s">
        <v>21</v>
      </c>
      <c r="F29" s="3"/>
      <c r="G29" s="5"/>
    </row>
    <row r="30" spans="1:7" x14ac:dyDescent="0.25">
      <c r="A30" s="4">
        <v>46259</v>
      </c>
      <c r="B30" s="2">
        <f t="shared" si="0"/>
        <v>46259</v>
      </c>
      <c r="C30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W20 (22/8 - 28/8)</v>
      </c>
      <c r="D30" s="3" t="s">
        <v>31</v>
      </c>
      <c r="E30" s="3" t="s">
        <v>21</v>
      </c>
      <c r="F30" s="3"/>
      <c r="G30" s="5"/>
    </row>
    <row r="31" spans="1:7" x14ac:dyDescent="0.25">
      <c r="A31" s="4">
        <v>46260</v>
      </c>
      <c r="B31" s="2">
        <f t="shared" si="0"/>
        <v>46260</v>
      </c>
      <c r="C31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W20 (22/8 - 28/8)</v>
      </c>
      <c r="D31" s="3" t="s">
        <v>31</v>
      </c>
      <c r="E31" s="3" t="s">
        <v>21</v>
      </c>
      <c r="F31" s="3"/>
      <c r="G31" s="5"/>
    </row>
    <row r="32" spans="1:7" x14ac:dyDescent="0.25">
      <c r="A32" s="4">
        <v>46261</v>
      </c>
      <c r="B32" s="2">
        <f t="shared" si="0"/>
        <v>46261</v>
      </c>
      <c r="C32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W20 (22/8 - 28/8)</v>
      </c>
      <c r="D32" s="3" t="s">
        <v>31</v>
      </c>
      <c r="E32" s="3" t="s">
        <v>21</v>
      </c>
      <c r="F32" s="3"/>
      <c r="G32" s="5"/>
    </row>
    <row r="33" spans="1:7" x14ac:dyDescent="0.25">
      <c r="A33" s="4">
        <v>46262</v>
      </c>
      <c r="B33" s="2">
        <f t="shared" si="0"/>
        <v>46262</v>
      </c>
      <c r="C33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W20 (22/8 - 28/8)</v>
      </c>
      <c r="D33" s="3" t="s">
        <v>31</v>
      </c>
      <c r="E33" s="3" t="s">
        <v>21</v>
      </c>
      <c r="F33" s="3"/>
      <c r="G33" s="5"/>
    </row>
    <row r="34" spans="1:7" x14ac:dyDescent="0.25">
      <c r="A34" s="4">
        <v>46263</v>
      </c>
      <c r="B34" s="2">
        <f t="shared" si="0"/>
        <v>46263</v>
      </c>
      <c r="C34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W21 (29/8 - 4/9)</v>
      </c>
      <c r="D34" s="3" t="s">
        <v>31</v>
      </c>
      <c r="E34" s="3" t="s">
        <v>21</v>
      </c>
      <c r="F34" s="3"/>
      <c r="G34" s="5"/>
    </row>
    <row r="35" spans="1:7" x14ac:dyDescent="0.25">
      <c r="A35" s="4">
        <v>46264</v>
      </c>
      <c r="B35" s="2">
        <f t="shared" si="0"/>
        <v>46264</v>
      </c>
      <c r="C35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W21 (29/8 - 4/9)</v>
      </c>
      <c r="D35" s="3" t="s">
        <v>31</v>
      </c>
      <c r="E35" s="3" t="s">
        <v>21</v>
      </c>
      <c r="F35" s="3"/>
      <c r="G35" s="5"/>
    </row>
    <row r="36" spans="1:7" x14ac:dyDescent="0.25">
      <c r="A36" s="4">
        <v>46265</v>
      </c>
      <c r="B36" s="10">
        <f t="shared" si="0"/>
        <v>46265</v>
      </c>
      <c r="C36" s="11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W21 (29/8 - 4/9)</v>
      </c>
      <c r="D36" s="3" t="s">
        <v>31</v>
      </c>
      <c r="E36" s="3" t="s">
        <v>21</v>
      </c>
      <c r="F36" s="3"/>
      <c r="G36" s="5"/>
    </row>
    <row r="37" spans="1:7" x14ac:dyDescent="0.25">
      <c r="A37" s="4">
        <v>46266</v>
      </c>
      <c r="B37" s="2">
        <f t="shared" si="0"/>
        <v>46266</v>
      </c>
      <c r="C37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W21 (29/8 - 4/9)</v>
      </c>
      <c r="D37" s="3" t="s">
        <v>31</v>
      </c>
      <c r="E37" s="3" t="s">
        <v>21</v>
      </c>
      <c r="F37" s="3"/>
      <c r="G37" s="5"/>
    </row>
    <row r="38" spans="1:7" x14ac:dyDescent="0.25">
      <c r="A38" s="4">
        <v>46267</v>
      </c>
      <c r="B38" s="2">
        <f t="shared" ref="B38:B69" si="1">A38</f>
        <v>46267</v>
      </c>
      <c r="C38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W21 (29/8 - 4/9)</v>
      </c>
      <c r="D38" s="3" t="s">
        <v>31</v>
      </c>
      <c r="E38" s="3" t="s">
        <v>21</v>
      </c>
      <c r="F38" s="3"/>
      <c r="G38" s="5"/>
    </row>
    <row r="39" spans="1:7" x14ac:dyDescent="0.25">
      <c r="A39" s="4">
        <v>46268</v>
      </c>
      <c r="B39" s="2">
        <f t="shared" si="1"/>
        <v>46268</v>
      </c>
      <c r="C39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W21 (29/8 - 4/9)</v>
      </c>
      <c r="D39" s="3" t="s">
        <v>31</v>
      </c>
      <c r="E39" s="3" t="s">
        <v>21</v>
      </c>
      <c r="F39" s="3"/>
      <c r="G39" s="5"/>
    </row>
    <row r="40" spans="1:7" x14ac:dyDescent="0.25">
      <c r="A40" s="4">
        <v>46269</v>
      </c>
      <c r="B40" s="2">
        <f t="shared" si="1"/>
        <v>46269</v>
      </c>
      <c r="C40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W21 (29/8 - 4/9)</v>
      </c>
      <c r="D40" s="3" t="s">
        <v>31</v>
      </c>
      <c r="E40" s="3" t="s">
        <v>21</v>
      </c>
      <c r="F40" s="3"/>
      <c r="G40" s="5"/>
    </row>
    <row r="41" spans="1:7" x14ac:dyDescent="0.25">
      <c r="A41" s="4">
        <v>46270</v>
      </c>
      <c r="B41" s="2">
        <f t="shared" si="1"/>
        <v>46270</v>
      </c>
      <c r="C41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W22 (5/9 - 11/9)</v>
      </c>
      <c r="D41" s="3" t="s">
        <v>31</v>
      </c>
      <c r="E41" s="3" t="s">
        <v>21</v>
      </c>
      <c r="F41" s="3"/>
      <c r="G41" s="5"/>
    </row>
    <row r="42" spans="1:7" x14ac:dyDescent="0.25">
      <c r="A42" s="4">
        <v>46271</v>
      </c>
      <c r="B42" s="2">
        <f t="shared" si="1"/>
        <v>46271</v>
      </c>
      <c r="C42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W22 (5/9 - 11/9)</v>
      </c>
      <c r="D42" s="3" t="s">
        <v>31</v>
      </c>
      <c r="E42" s="3" t="s">
        <v>21</v>
      </c>
      <c r="F42" s="3"/>
      <c r="G42" s="5"/>
    </row>
    <row r="43" spans="1:7" x14ac:dyDescent="0.25">
      <c r="A43" s="4">
        <v>46272</v>
      </c>
      <c r="B43" s="2">
        <f t="shared" si="1"/>
        <v>46272</v>
      </c>
      <c r="C43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W22 (5/9 - 11/9)</v>
      </c>
      <c r="D43" s="3" t="s">
        <v>31</v>
      </c>
      <c r="E43" s="3" t="s">
        <v>21</v>
      </c>
      <c r="F43" s="3"/>
      <c r="G43" s="5"/>
    </row>
    <row r="44" spans="1:7" x14ac:dyDescent="0.25">
      <c r="A44" s="4">
        <v>46273</v>
      </c>
      <c r="B44" s="2">
        <f t="shared" si="1"/>
        <v>46273</v>
      </c>
      <c r="C44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W22 (5/9 - 11/9)</v>
      </c>
      <c r="D44" s="3" t="s">
        <v>31</v>
      </c>
      <c r="E44" s="3" t="s">
        <v>21</v>
      </c>
      <c r="F44" s="3"/>
      <c r="G44" s="5"/>
    </row>
    <row r="45" spans="1:7" x14ac:dyDescent="0.25">
      <c r="A45" s="4">
        <v>46274</v>
      </c>
      <c r="B45" s="2">
        <f t="shared" si="1"/>
        <v>46274</v>
      </c>
      <c r="C45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W22 (5/9 - 11/9)</v>
      </c>
      <c r="D45" s="3" t="s">
        <v>31</v>
      </c>
      <c r="E45" s="3" t="s">
        <v>21</v>
      </c>
      <c r="F45" s="3"/>
      <c r="G45" s="5"/>
    </row>
    <row r="46" spans="1:7" x14ac:dyDescent="0.25">
      <c r="A46" s="4">
        <v>46275</v>
      </c>
      <c r="B46" s="2">
        <f t="shared" si="1"/>
        <v>46275</v>
      </c>
      <c r="C46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W22 (5/9 - 11/9)</v>
      </c>
      <c r="D46" s="3" t="s">
        <v>31</v>
      </c>
      <c r="E46" s="3" t="s">
        <v>21</v>
      </c>
      <c r="F46" s="3"/>
      <c r="G46" s="5"/>
    </row>
    <row r="47" spans="1:7" x14ac:dyDescent="0.25">
      <c r="A47" s="4">
        <v>46276</v>
      </c>
      <c r="B47" s="2">
        <f t="shared" si="1"/>
        <v>46276</v>
      </c>
      <c r="C47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W22 (5/9 - 11/9)</v>
      </c>
      <c r="D47" s="3" t="s">
        <v>31</v>
      </c>
      <c r="E47" s="3" t="s">
        <v>21</v>
      </c>
      <c r="F47" s="3"/>
      <c r="G47" s="5"/>
    </row>
    <row r="48" spans="1:7" x14ac:dyDescent="0.25">
      <c r="A48" s="4">
        <v>46277</v>
      </c>
      <c r="B48" s="2">
        <f t="shared" si="1"/>
        <v>46277</v>
      </c>
      <c r="C48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W23 (12/9 - 18/9)</v>
      </c>
      <c r="D48" s="3" t="s">
        <v>31</v>
      </c>
      <c r="E48" s="3" t="s">
        <v>21</v>
      </c>
      <c r="F48" s="3"/>
      <c r="G48" s="5"/>
    </row>
    <row r="49" spans="1:7" x14ac:dyDescent="0.25">
      <c r="A49" s="4">
        <v>46278</v>
      </c>
      <c r="B49" s="2">
        <f t="shared" si="1"/>
        <v>46278</v>
      </c>
      <c r="C49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W23 (12/9 - 18/9)</v>
      </c>
      <c r="D49" s="3" t="s">
        <v>31</v>
      </c>
      <c r="E49" s="3" t="s">
        <v>21</v>
      </c>
      <c r="F49" s="3"/>
      <c r="G49" s="5"/>
    </row>
    <row r="50" spans="1:7" x14ac:dyDescent="0.25">
      <c r="A50" s="4">
        <v>46279</v>
      </c>
      <c r="B50" s="2">
        <f t="shared" si="1"/>
        <v>46279</v>
      </c>
      <c r="C50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W23 (12/9 - 18/9)</v>
      </c>
      <c r="D50" s="3" t="s">
        <v>31</v>
      </c>
      <c r="E50" s="3" t="s">
        <v>21</v>
      </c>
      <c r="F50" s="3"/>
      <c r="G50" s="5"/>
    </row>
    <row r="51" spans="1:7" x14ac:dyDescent="0.25">
      <c r="A51" s="4">
        <v>46280</v>
      </c>
      <c r="B51" s="2">
        <f t="shared" si="1"/>
        <v>46280</v>
      </c>
      <c r="C51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W23 (12/9 - 18/9)</v>
      </c>
      <c r="D51" s="3" t="s">
        <v>31</v>
      </c>
      <c r="E51" s="3" t="s">
        <v>21</v>
      </c>
      <c r="F51" s="3"/>
      <c r="G51" s="5"/>
    </row>
    <row r="52" spans="1:7" x14ac:dyDescent="0.25">
      <c r="A52" s="4">
        <v>46281</v>
      </c>
      <c r="B52" s="2">
        <f t="shared" si="1"/>
        <v>46281</v>
      </c>
      <c r="C52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W23 (12/9 - 18/9)</v>
      </c>
      <c r="D52" s="3" t="s">
        <v>31</v>
      </c>
      <c r="E52" s="3" t="s">
        <v>21</v>
      </c>
      <c r="F52" s="3"/>
      <c r="G52" s="5"/>
    </row>
    <row r="53" spans="1:7" x14ac:dyDescent="0.25">
      <c r="A53" s="4">
        <v>46282</v>
      </c>
      <c r="B53" s="2">
        <f t="shared" si="1"/>
        <v>46282</v>
      </c>
      <c r="C53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W23 (12/9 - 18/9)</v>
      </c>
      <c r="D53" s="3" t="s">
        <v>31</v>
      </c>
      <c r="E53" s="3" t="s">
        <v>21</v>
      </c>
      <c r="F53" s="3"/>
      <c r="G53" s="5"/>
    </row>
    <row r="54" spans="1:7" x14ac:dyDescent="0.25">
      <c r="A54" s="4">
        <v>46283</v>
      </c>
      <c r="B54" s="2">
        <f t="shared" si="1"/>
        <v>46283</v>
      </c>
      <c r="C54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W23 (12/9 - 18/9)</v>
      </c>
      <c r="D54" s="3" t="s">
        <v>31</v>
      </c>
      <c r="E54" s="3" t="s">
        <v>21</v>
      </c>
      <c r="F54" s="3"/>
      <c r="G54" s="5"/>
    </row>
    <row r="55" spans="1:7" x14ac:dyDescent="0.25">
      <c r="A55" s="4">
        <v>46284</v>
      </c>
      <c r="B55" s="2">
        <f t="shared" si="1"/>
        <v>46284</v>
      </c>
      <c r="C55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W24 (19/9 - 25/9)</v>
      </c>
      <c r="D55" s="3" t="s">
        <v>31</v>
      </c>
      <c r="E55" s="3" t="s">
        <v>21</v>
      </c>
      <c r="F55" s="3">
        <v>4</v>
      </c>
      <c r="G55" s="5">
        <v>48</v>
      </c>
    </row>
    <row r="56" spans="1:7" x14ac:dyDescent="0.25">
      <c r="A56" s="4">
        <v>46285</v>
      </c>
      <c r="B56" s="2">
        <f t="shared" si="1"/>
        <v>46285</v>
      </c>
      <c r="C56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W24 (19/9 - 25/9)</v>
      </c>
      <c r="D56" s="3" t="s">
        <v>31</v>
      </c>
      <c r="E56" s="3" t="s">
        <v>21</v>
      </c>
      <c r="F56" s="3">
        <v>4</v>
      </c>
      <c r="G56" s="5">
        <v>48</v>
      </c>
    </row>
    <row r="57" spans="1:7" x14ac:dyDescent="0.25">
      <c r="A57" s="4">
        <v>46286</v>
      </c>
      <c r="B57" s="2">
        <f t="shared" si="1"/>
        <v>46286</v>
      </c>
      <c r="C57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W24 (19/9 - 25/9)</v>
      </c>
      <c r="D57" s="3" t="s">
        <v>31</v>
      </c>
      <c r="E57" s="3" t="s">
        <v>21</v>
      </c>
      <c r="F57" s="3">
        <v>4</v>
      </c>
      <c r="G57" s="5">
        <v>48</v>
      </c>
    </row>
    <row r="58" spans="1:7" x14ac:dyDescent="0.25">
      <c r="A58" s="4">
        <v>46287</v>
      </c>
      <c r="B58" s="2">
        <f t="shared" si="1"/>
        <v>46287</v>
      </c>
      <c r="C58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W24 (19/9 - 25/9)</v>
      </c>
      <c r="D58" s="3" t="s">
        <v>31</v>
      </c>
      <c r="E58" s="3" t="s">
        <v>21</v>
      </c>
      <c r="F58" s="3">
        <v>4</v>
      </c>
      <c r="G58" s="5">
        <v>48</v>
      </c>
    </row>
    <row r="59" spans="1:7" x14ac:dyDescent="0.25">
      <c r="A59" s="4">
        <v>46288</v>
      </c>
      <c r="B59" s="2">
        <f t="shared" si="1"/>
        <v>46288</v>
      </c>
      <c r="C59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W24 (19/9 - 25/9)</v>
      </c>
      <c r="D59" s="3" t="s">
        <v>31</v>
      </c>
      <c r="E59" s="3" t="s">
        <v>21</v>
      </c>
      <c r="F59" s="3">
        <v>4</v>
      </c>
      <c r="G59" s="5">
        <v>48</v>
      </c>
    </row>
    <row r="60" spans="1:7" x14ac:dyDescent="0.25">
      <c r="A60" s="4">
        <v>46289</v>
      </c>
      <c r="B60" s="2">
        <f t="shared" si="1"/>
        <v>46289</v>
      </c>
      <c r="C60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W24 (19/9 - 25/9)</v>
      </c>
      <c r="D60" s="3" t="s">
        <v>31</v>
      </c>
      <c r="E60" s="3" t="s">
        <v>21</v>
      </c>
      <c r="F60" s="3">
        <v>4</v>
      </c>
      <c r="G60" s="5">
        <v>48</v>
      </c>
    </row>
    <row r="61" spans="1:7" x14ac:dyDescent="0.25">
      <c r="A61" s="4">
        <v>46290</v>
      </c>
      <c r="B61" s="2">
        <f t="shared" si="1"/>
        <v>46290</v>
      </c>
      <c r="C61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W24 (19/9 - 25/9)</v>
      </c>
      <c r="D61" s="3" t="s">
        <v>31</v>
      </c>
      <c r="E61" s="3" t="s">
        <v>21</v>
      </c>
      <c r="F61" s="3">
        <v>4</v>
      </c>
      <c r="G61" s="5">
        <v>48</v>
      </c>
    </row>
    <row r="62" spans="1:7" x14ac:dyDescent="0.25">
      <c r="A62" s="4">
        <v>46291</v>
      </c>
      <c r="B62" s="2">
        <f t="shared" si="1"/>
        <v>46291</v>
      </c>
      <c r="C62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W25 (26/9 - 2/10)</v>
      </c>
      <c r="D62" s="3" t="s">
        <v>31</v>
      </c>
      <c r="E62" s="3" t="s">
        <v>21</v>
      </c>
      <c r="F62" s="3">
        <v>4</v>
      </c>
      <c r="G62" s="5">
        <v>48</v>
      </c>
    </row>
    <row r="63" spans="1:7" x14ac:dyDescent="0.25">
      <c r="A63" s="4">
        <v>46292</v>
      </c>
      <c r="B63" s="2">
        <f t="shared" si="1"/>
        <v>46292</v>
      </c>
      <c r="C63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W25 (26/9 - 2/10)</v>
      </c>
      <c r="D63" s="3" t="s">
        <v>31</v>
      </c>
      <c r="E63" s="3" t="s">
        <v>21</v>
      </c>
      <c r="F63" s="3">
        <v>4</v>
      </c>
      <c r="G63" s="5">
        <v>48</v>
      </c>
    </row>
    <row r="64" spans="1:7" x14ac:dyDescent="0.25">
      <c r="A64" s="4">
        <v>46293</v>
      </c>
      <c r="B64" s="2">
        <f t="shared" si="1"/>
        <v>46293</v>
      </c>
      <c r="C64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W25 (26/9 - 2/10)</v>
      </c>
      <c r="D64" s="3" t="s">
        <v>31</v>
      </c>
      <c r="E64" s="3" t="s">
        <v>21</v>
      </c>
      <c r="F64" s="3">
        <v>4</v>
      </c>
      <c r="G64" s="5">
        <v>48</v>
      </c>
    </row>
    <row r="65" spans="1:7" x14ac:dyDescent="0.25">
      <c r="A65" s="4">
        <v>46294</v>
      </c>
      <c r="B65" s="2">
        <f t="shared" si="1"/>
        <v>46294</v>
      </c>
      <c r="C65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W25 (26/9 - 2/10)</v>
      </c>
      <c r="D65" s="3" t="s">
        <v>31</v>
      </c>
      <c r="E65" s="3" t="s">
        <v>21</v>
      </c>
      <c r="F65" s="3">
        <v>4</v>
      </c>
      <c r="G65" s="5">
        <v>48</v>
      </c>
    </row>
    <row r="66" spans="1:7" x14ac:dyDescent="0.25">
      <c r="A66" s="4">
        <v>46295</v>
      </c>
      <c r="B66" s="2">
        <f t="shared" si="1"/>
        <v>46295</v>
      </c>
      <c r="C66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W25 (26/9 - 2/10)</v>
      </c>
      <c r="D66" s="3" t="s">
        <v>31</v>
      </c>
      <c r="E66" s="3" t="s">
        <v>21</v>
      </c>
      <c r="F66" s="3">
        <v>4</v>
      </c>
      <c r="G66" s="5">
        <v>48</v>
      </c>
    </row>
    <row r="67" spans="1:7" x14ac:dyDescent="0.25">
      <c r="A67" s="4">
        <v>46296</v>
      </c>
      <c r="B67" s="2">
        <f t="shared" si="1"/>
        <v>46296</v>
      </c>
      <c r="C67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W25 (26/9 - 2/10)</v>
      </c>
      <c r="D67" s="3" t="s">
        <v>31</v>
      </c>
      <c r="E67" s="3" t="s">
        <v>21</v>
      </c>
      <c r="F67" s="3">
        <v>4</v>
      </c>
      <c r="G67" s="5">
        <v>48</v>
      </c>
    </row>
    <row r="68" spans="1:7" x14ac:dyDescent="0.25">
      <c r="A68" s="4">
        <v>46297</v>
      </c>
      <c r="B68" s="2">
        <f t="shared" si="1"/>
        <v>46297</v>
      </c>
      <c r="C68" s="3" t="str">
        <f>IF(PASSENGER_BOAT[[#This Row],[DATE]]&lt;DATE(2026,4,11),"0",_xlfn.LET(
_xlpm.W,INT((PASSENGER_BOAT[[#This Row],[DATE]]-DATE(2026,4,11))/7)+1,
_xlpm.S,DATE(2026,4,11)+(_xlpm.W-1)*7,
_xlpm.E,_xlpm.S+6,
"W"&amp;TEXT(_xlpm.W,"00")&amp;" ("&amp;TEXT(_xlpm.S,"d/m")&amp;" - "&amp;TEXT(_xlpm.E,"d/m")&amp;")"
))</f>
        <v>W25 (26/9 - 2/10)</v>
      </c>
      <c r="D68" s="3" t="s">
        <v>31</v>
      </c>
      <c r="E68" s="3" t="s">
        <v>21</v>
      </c>
      <c r="F68" s="3">
        <v>4</v>
      </c>
      <c r="G68" s="5">
        <v>48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5:N178"/>
  <sheetViews>
    <sheetView topLeftCell="A146" zoomScale="115" zoomScaleNormal="115" workbookViewId="0">
      <selection activeCell="A170" sqref="A170:N178"/>
    </sheetView>
  </sheetViews>
  <sheetFormatPr defaultColWidth="8.85546875" defaultRowHeight="12.75" x14ac:dyDescent="0.25"/>
  <cols>
    <col min="1" max="1" width="18.7109375" style="13" customWidth="1"/>
    <col min="2" max="2" width="13.7109375" style="13" customWidth="1"/>
    <col min="3" max="3" width="17.85546875" style="13" bestFit="1" customWidth="1"/>
    <col min="4" max="14" width="13.140625" style="13" customWidth="1"/>
    <col min="15" max="15" width="8.85546875" style="13" customWidth="1"/>
    <col min="16" max="16384" width="8.85546875" style="13"/>
  </cols>
  <sheetData>
    <row r="5" spans="1:14" ht="38.25" customHeight="1" x14ac:dyDescent="0.25">
      <c r="A5" s="34" t="s">
        <v>0</v>
      </c>
      <c r="B5" s="35" t="s">
        <v>1</v>
      </c>
      <c r="C5" s="35" t="s">
        <v>2</v>
      </c>
      <c r="D5" s="35" t="s">
        <v>32</v>
      </c>
      <c r="E5" s="36" t="s">
        <v>33</v>
      </c>
      <c r="F5" s="37" t="s">
        <v>34</v>
      </c>
      <c r="G5" s="37" t="s">
        <v>35</v>
      </c>
      <c r="H5" s="37" t="s">
        <v>36</v>
      </c>
      <c r="I5" s="37" t="s">
        <v>37</v>
      </c>
      <c r="J5" s="37" t="s">
        <v>38</v>
      </c>
      <c r="K5" s="37" t="s">
        <v>39</v>
      </c>
      <c r="L5" s="37" t="s">
        <v>40</v>
      </c>
      <c r="M5" s="37" t="s">
        <v>41</v>
      </c>
      <c r="N5" s="37" t="s">
        <v>42</v>
      </c>
    </row>
    <row r="6" spans="1:14" x14ac:dyDescent="0.25">
      <c r="A6" s="38">
        <v>46125</v>
      </c>
      <c r="B6" s="39">
        <f t="shared" ref="B6:B37" si="0">A6</f>
        <v>46125</v>
      </c>
      <c r="C6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W01 (11/4 - 17/4)</v>
      </c>
      <c r="D6" s="40">
        <v>0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</row>
    <row r="7" spans="1:14" x14ac:dyDescent="0.25">
      <c r="A7" s="38">
        <v>46126</v>
      </c>
      <c r="B7" s="39">
        <f t="shared" si="0"/>
        <v>46126</v>
      </c>
      <c r="C7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W01 (11/4 - 17/4)</v>
      </c>
      <c r="D7" s="40">
        <v>0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</row>
    <row r="8" spans="1:14" x14ac:dyDescent="0.25">
      <c r="A8" s="38">
        <v>46127</v>
      </c>
      <c r="B8" s="39">
        <f t="shared" si="0"/>
        <v>46127</v>
      </c>
      <c r="C8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W01 (11/4 - 17/4)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</row>
    <row r="9" spans="1:14" x14ac:dyDescent="0.25">
      <c r="A9" s="38">
        <v>46128</v>
      </c>
      <c r="B9" s="39">
        <f t="shared" si="0"/>
        <v>46128</v>
      </c>
      <c r="C9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W01 (11/4 - 17/4)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</row>
    <row r="10" spans="1:14" x14ac:dyDescent="0.25">
      <c r="A10" s="38">
        <v>46129</v>
      </c>
      <c r="B10" s="39">
        <f t="shared" si="0"/>
        <v>46129</v>
      </c>
      <c r="C10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W01 (11/4 - 17/4)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</row>
    <row r="11" spans="1:14" x14ac:dyDescent="0.25">
      <c r="A11" s="38">
        <v>46130</v>
      </c>
      <c r="B11" s="39">
        <f t="shared" si="0"/>
        <v>46130</v>
      </c>
      <c r="C11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W02 (18/4 - 24/4)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</row>
    <row r="12" spans="1:14" x14ac:dyDescent="0.25">
      <c r="A12" s="38">
        <v>46131</v>
      </c>
      <c r="B12" s="39">
        <f t="shared" si="0"/>
        <v>46131</v>
      </c>
      <c r="C12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W02 (18/4 - 24/4)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</row>
    <row r="13" spans="1:14" x14ac:dyDescent="0.25">
      <c r="A13" s="38">
        <v>46132</v>
      </c>
      <c r="B13" s="39">
        <f t="shared" si="0"/>
        <v>46132</v>
      </c>
      <c r="C13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W02 (18/4 - 24/4)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</row>
    <row r="14" spans="1:14" x14ac:dyDescent="0.25">
      <c r="A14" s="38">
        <v>46133</v>
      </c>
      <c r="B14" s="39">
        <f t="shared" si="0"/>
        <v>46133</v>
      </c>
      <c r="C14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W02 (18/4 - 24/4)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</row>
    <row r="15" spans="1:14" x14ac:dyDescent="0.25">
      <c r="A15" s="38">
        <v>46134</v>
      </c>
      <c r="B15" s="39">
        <f t="shared" si="0"/>
        <v>46134</v>
      </c>
      <c r="C15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W02 (18/4 - 24/4)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</row>
    <row r="16" spans="1:14" x14ac:dyDescent="0.25">
      <c r="A16" s="38">
        <v>46135</v>
      </c>
      <c r="B16" s="39">
        <f t="shared" si="0"/>
        <v>46135</v>
      </c>
      <c r="C16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W02 (18/4 - 24/4)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</row>
    <row r="17" spans="1:14" x14ac:dyDescent="0.25">
      <c r="A17" s="38">
        <v>46136</v>
      </c>
      <c r="B17" s="39">
        <f t="shared" si="0"/>
        <v>46136</v>
      </c>
      <c r="C17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W02 (18/4 - 24/4)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</row>
    <row r="18" spans="1:14" x14ac:dyDescent="0.25">
      <c r="A18" s="38">
        <v>46137</v>
      </c>
      <c r="B18" s="39">
        <f t="shared" si="0"/>
        <v>46137</v>
      </c>
      <c r="C18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W03 (25/4 - 1/5)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</row>
    <row r="19" spans="1:14" x14ac:dyDescent="0.25">
      <c r="A19" s="38">
        <v>46138</v>
      </c>
      <c r="B19" s="39">
        <f t="shared" si="0"/>
        <v>46138</v>
      </c>
      <c r="C19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W03 (25/4 - 1/5)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</row>
    <row r="20" spans="1:14" x14ac:dyDescent="0.25">
      <c r="A20" s="38">
        <v>46139</v>
      </c>
      <c r="B20" s="39">
        <f t="shared" si="0"/>
        <v>46139</v>
      </c>
      <c r="C20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W03 (25/4 - 1/5)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</row>
    <row r="21" spans="1:14" x14ac:dyDescent="0.25">
      <c r="A21" s="38">
        <v>46140</v>
      </c>
      <c r="B21" s="39">
        <f t="shared" si="0"/>
        <v>46140</v>
      </c>
      <c r="C21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W03 (25/4 - 1/5)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</row>
    <row r="22" spans="1:14" x14ac:dyDescent="0.25">
      <c r="A22" s="38">
        <v>46141</v>
      </c>
      <c r="B22" s="39">
        <f t="shared" si="0"/>
        <v>46141</v>
      </c>
      <c r="C22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W03 (25/4 - 1/5)</v>
      </c>
      <c r="D22" s="40">
        <v>0</v>
      </c>
      <c r="E22" s="40">
        <v>0</v>
      </c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</row>
    <row r="23" spans="1:14" x14ac:dyDescent="0.25">
      <c r="A23" s="38">
        <v>46142</v>
      </c>
      <c r="B23" s="39">
        <f t="shared" si="0"/>
        <v>46142</v>
      </c>
      <c r="C23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W03 (25/4 - 1/5)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0">
        <v>0</v>
      </c>
    </row>
    <row r="24" spans="1:14" x14ac:dyDescent="0.25">
      <c r="A24" s="38">
        <v>46143</v>
      </c>
      <c r="B24" s="39">
        <f t="shared" si="0"/>
        <v>46143</v>
      </c>
      <c r="C24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W03 (25/4 - 1/5)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</row>
    <row r="25" spans="1:14" x14ac:dyDescent="0.25">
      <c r="A25" s="38">
        <v>46144</v>
      </c>
      <c r="B25" s="39">
        <f t="shared" si="0"/>
        <v>46144</v>
      </c>
      <c r="C25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W04 (2/5 - 8/5)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</row>
    <row r="26" spans="1:14" x14ac:dyDescent="0.25">
      <c r="A26" s="38">
        <v>46145</v>
      </c>
      <c r="B26" s="39">
        <f t="shared" si="0"/>
        <v>46145</v>
      </c>
      <c r="C26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W04 (2/5 - 8/5)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</row>
    <row r="27" spans="1:14" x14ac:dyDescent="0.25">
      <c r="A27" s="38">
        <v>46146</v>
      </c>
      <c r="B27" s="39">
        <f t="shared" si="0"/>
        <v>46146</v>
      </c>
      <c r="C27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W04 (2/5 - 8/5)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</row>
    <row r="28" spans="1:14" x14ac:dyDescent="0.25">
      <c r="A28" s="38">
        <v>46147</v>
      </c>
      <c r="B28" s="39">
        <f t="shared" si="0"/>
        <v>46147</v>
      </c>
      <c r="C28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W04 (2/5 - 8/5)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</row>
    <row r="29" spans="1:14" x14ac:dyDescent="0.25">
      <c r="A29" s="38">
        <v>46148</v>
      </c>
      <c r="B29" s="39">
        <f t="shared" si="0"/>
        <v>46148</v>
      </c>
      <c r="C29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W04 (2/5 - 8/5)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</row>
    <row r="30" spans="1:14" x14ac:dyDescent="0.25">
      <c r="A30" s="38">
        <v>46149</v>
      </c>
      <c r="B30" s="39">
        <f t="shared" si="0"/>
        <v>46149</v>
      </c>
      <c r="C30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W04 (2/5 - 8/5)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</row>
    <row r="31" spans="1:14" x14ac:dyDescent="0.25">
      <c r="A31" s="38">
        <v>46150</v>
      </c>
      <c r="B31" s="39">
        <f t="shared" si="0"/>
        <v>46150</v>
      </c>
      <c r="C31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W04 (2/5 - 8/5)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</row>
    <row r="32" spans="1:14" x14ac:dyDescent="0.25">
      <c r="A32" s="38">
        <v>46151</v>
      </c>
      <c r="B32" s="39">
        <f t="shared" si="0"/>
        <v>46151</v>
      </c>
      <c r="C32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W05 (9/5 - 15/5)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</row>
    <row r="33" spans="1:14" x14ac:dyDescent="0.25">
      <c r="A33" s="38">
        <v>46152</v>
      </c>
      <c r="B33" s="39">
        <f t="shared" si="0"/>
        <v>46152</v>
      </c>
      <c r="C33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W05 (9/5 - 15/5)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</row>
    <row r="34" spans="1:14" x14ac:dyDescent="0.25">
      <c r="A34" s="38">
        <v>46153</v>
      </c>
      <c r="B34" s="39">
        <f t="shared" si="0"/>
        <v>46153</v>
      </c>
      <c r="C34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W05 (9/5 - 15/5)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</row>
    <row r="35" spans="1:14" x14ac:dyDescent="0.25">
      <c r="A35" s="38">
        <v>46154</v>
      </c>
      <c r="B35" s="39">
        <f t="shared" si="0"/>
        <v>46154</v>
      </c>
      <c r="C35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W05 (9/5 - 15/5)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</row>
    <row r="36" spans="1:14" x14ac:dyDescent="0.25">
      <c r="A36" s="38">
        <v>46155</v>
      </c>
      <c r="B36" s="39">
        <f t="shared" si="0"/>
        <v>46155</v>
      </c>
      <c r="C36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W05 (9/5 - 15/5)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</row>
    <row r="37" spans="1:14" x14ac:dyDescent="0.25">
      <c r="A37" s="38">
        <v>46156</v>
      </c>
      <c r="B37" s="39">
        <f t="shared" si="0"/>
        <v>46156</v>
      </c>
      <c r="C37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W05 (9/5 - 15/5)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</row>
    <row r="38" spans="1:14" x14ac:dyDescent="0.25">
      <c r="A38" s="38">
        <v>46157</v>
      </c>
      <c r="B38" s="39">
        <f t="shared" ref="B38:B69" si="1">A38</f>
        <v>46157</v>
      </c>
      <c r="C38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W05 (9/5 - 15/5)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</row>
    <row r="39" spans="1:14" x14ac:dyDescent="0.25">
      <c r="A39" s="38">
        <v>46158</v>
      </c>
      <c r="B39" s="39">
        <f t="shared" si="1"/>
        <v>46158</v>
      </c>
      <c r="C39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W06 (16/5 - 22/5)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</row>
    <row r="40" spans="1:14" x14ac:dyDescent="0.25">
      <c r="A40" s="38">
        <v>46159</v>
      </c>
      <c r="B40" s="39">
        <f t="shared" si="1"/>
        <v>46159</v>
      </c>
      <c r="C40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W06 (16/5 - 22/5)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</row>
    <row r="41" spans="1:14" x14ac:dyDescent="0.25">
      <c r="A41" s="38">
        <v>46160</v>
      </c>
      <c r="B41" s="39">
        <f t="shared" si="1"/>
        <v>46160</v>
      </c>
      <c r="C41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W06 (16/5 - 22/5)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</row>
    <row r="42" spans="1:14" x14ac:dyDescent="0.25">
      <c r="A42" s="38">
        <v>46161</v>
      </c>
      <c r="B42" s="39">
        <f t="shared" si="1"/>
        <v>46161</v>
      </c>
      <c r="C42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W06 (16/5 - 22/5)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</row>
    <row r="43" spans="1:14" x14ac:dyDescent="0.25">
      <c r="A43" s="38">
        <v>46162</v>
      </c>
      <c r="B43" s="39">
        <f t="shared" si="1"/>
        <v>46162</v>
      </c>
      <c r="C43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W06 (16/5 - 22/5)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40">
        <v>0</v>
      </c>
    </row>
    <row r="44" spans="1:14" x14ac:dyDescent="0.25">
      <c r="A44" s="38">
        <v>46163</v>
      </c>
      <c r="B44" s="39">
        <f t="shared" si="1"/>
        <v>46163</v>
      </c>
      <c r="C44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W06 (16/5 - 22/5)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</row>
    <row r="45" spans="1:14" x14ac:dyDescent="0.25">
      <c r="A45" s="38">
        <v>46164</v>
      </c>
      <c r="B45" s="39">
        <f t="shared" si="1"/>
        <v>46164</v>
      </c>
      <c r="C45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W06 (16/5 - 22/5)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</row>
    <row r="46" spans="1:14" x14ac:dyDescent="0.25">
      <c r="A46" s="38">
        <v>46165</v>
      </c>
      <c r="B46" s="39">
        <f t="shared" si="1"/>
        <v>46165</v>
      </c>
      <c r="C46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W07 (23/5 - 29/5)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</row>
    <row r="47" spans="1:14" x14ac:dyDescent="0.25">
      <c r="A47" s="38">
        <v>46166</v>
      </c>
      <c r="B47" s="39">
        <f t="shared" si="1"/>
        <v>46166</v>
      </c>
      <c r="C47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W07 (23/5 - 29/5)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</row>
    <row r="48" spans="1:14" x14ac:dyDescent="0.25">
      <c r="A48" s="38">
        <v>46167</v>
      </c>
      <c r="B48" s="39">
        <f t="shared" si="1"/>
        <v>46167</v>
      </c>
      <c r="C48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W07 (23/5 - 29/5)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</row>
    <row r="49" spans="1:14" x14ac:dyDescent="0.25">
      <c r="A49" s="38">
        <v>46168</v>
      </c>
      <c r="B49" s="39">
        <f t="shared" si="1"/>
        <v>46168</v>
      </c>
      <c r="C49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W07 (23/5 - 29/5)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</row>
    <row r="50" spans="1:14" x14ac:dyDescent="0.25">
      <c r="A50" s="38">
        <v>46169</v>
      </c>
      <c r="B50" s="39">
        <f t="shared" si="1"/>
        <v>46169</v>
      </c>
      <c r="C50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W07 (23/5 - 29/5)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</row>
    <row r="51" spans="1:14" x14ac:dyDescent="0.25">
      <c r="A51" s="38">
        <v>46170</v>
      </c>
      <c r="B51" s="39">
        <f t="shared" si="1"/>
        <v>46170</v>
      </c>
      <c r="C51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W07 (23/5 - 29/5)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</row>
    <row r="52" spans="1:14" x14ac:dyDescent="0.25">
      <c r="A52" s="38">
        <v>46171</v>
      </c>
      <c r="B52" s="39">
        <f t="shared" si="1"/>
        <v>46171</v>
      </c>
      <c r="C52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W07 (23/5 - 29/5)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</row>
    <row r="53" spans="1:14" x14ac:dyDescent="0.25">
      <c r="A53" s="38">
        <v>46172</v>
      </c>
      <c r="B53" s="39">
        <f t="shared" si="1"/>
        <v>46172</v>
      </c>
      <c r="C53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W08 (30/5 - 5/6)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</row>
    <row r="54" spans="1:14" x14ac:dyDescent="0.25">
      <c r="A54" s="38">
        <v>46173</v>
      </c>
      <c r="B54" s="39">
        <f t="shared" si="1"/>
        <v>46173</v>
      </c>
      <c r="C54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W08 (30/5 - 5/6)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</row>
    <row r="55" spans="1:14" x14ac:dyDescent="0.25">
      <c r="A55" s="38">
        <v>46174</v>
      </c>
      <c r="B55" s="39">
        <f t="shared" si="1"/>
        <v>46174</v>
      </c>
      <c r="C55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W08 (30/5 - 5/6)</v>
      </c>
      <c r="D55" s="40">
        <v>0</v>
      </c>
      <c r="E55" s="40">
        <v>0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</row>
    <row r="56" spans="1:14" x14ac:dyDescent="0.25">
      <c r="A56" s="38">
        <v>46175</v>
      </c>
      <c r="B56" s="39">
        <f t="shared" si="1"/>
        <v>46175</v>
      </c>
      <c r="C56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W08 (30/5 - 5/6)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</row>
    <row r="57" spans="1:14" x14ac:dyDescent="0.25">
      <c r="A57" s="38">
        <v>46176</v>
      </c>
      <c r="B57" s="39">
        <f t="shared" si="1"/>
        <v>46176</v>
      </c>
      <c r="C57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W08 (30/5 - 5/6)</v>
      </c>
      <c r="D57" s="40">
        <v>0</v>
      </c>
      <c r="E57" s="40">
        <v>0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</row>
    <row r="58" spans="1:14" x14ac:dyDescent="0.25">
      <c r="A58" s="38">
        <v>46177</v>
      </c>
      <c r="B58" s="39">
        <f t="shared" si="1"/>
        <v>46177</v>
      </c>
      <c r="C58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W08 (30/5 - 5/6)</v>
      </c>
      <c r="D58" s="40">
        <v>0</v>
      </c>
      <c r="E58" s="40">
        <v>0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</row>
    <row r="59" spans="1:14" x14ac:dyDescent="0.25">
      <c r="A59" s="38">
        <v>46178</v>
      </c>
      <c r="B59" s="39">
        <f t="shared" si="1"/>
        <v>46178</v>
      </c>
      <c r="C59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W08 (30/5 - 5/6)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</row>
    <row r="60" spans="1:14" x14ac:dyDescent="0.25">
      <c r="A60" s="38">
        <v>46179</v>
      </c>
      <c r="B60" s="39">
        <f t="shared" si="1"/>
        <v>46179</v>
      </c>
      <c r="C60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W09 (6/6 - 12/6)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</row>
    <row r="61" spans="1:14" x14ac:dyDescent="0.25">
      <c r="A61" s="38">
        <v>46180</v>
      </c>
      <c r="B61" s="39">
        <f t="shared" si="1"/>
        <v>46180</v>
      </c>
      <c r="C61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W09 (6/6 - 12/6)</v>
      </c>
      <c r="D61" s="40">
        <v>0</v>
      </c>
      <c r="E61" s="40">
        <v>0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</row>
    <row r="62" spans="1:14" x14ac:dyDescent="0.25">
      <c r="A62" s="38">
        <v>46181</v>
      </c>
      <c r="B62" s="39">
        <f t="shared" si="1"/>
        <v>46181</v>
      </c>
      <c r="C62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W09 (6/6 - 12/6)</v>
      </c>
      <c r="D62" s="40">
        <v>0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</row>
    <row r="63" spans="1:14" x14ac:dyDescent="0.25">
      <c r="A63" s="38">
        <v>46182</v>
      </c>
      <c r="B63" s="39">
        <f t="shared" si="1"/>
        <v>46182</v>
      </c>
      <c r="C63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W09 (6/6 - 12/6)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</row>
    <row r="64" spans="1:14" x14ac:dyDescent="0.25">
      <c r="A64" s="38">
        <v>46183</v>
      </c>
      <c r="B64" s="39">
        <f t="shared" si="1"/>
        <v>46183</v>
      </c>
      <c r="C64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W09 (6/6 - 12/6)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</row>
    <row r="65" spans="1:14" x14ac:dyDescent="0.25">
      <c r="A65" s="38">
        <v>46184</v>
      </c>
      <c r="B65" s="39">
        <f t="shared" si="1"/>
        <v>46184</v>
      </c>
      <c r="C65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W09 (6/6 - 12/6)</v>
      </c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</row>
    <row r="66" spans="1:14" x14ac:dyDescent="0.25">
      <c r="A66" s="38">
        <v>46185</v>
      </c>
      <c r="B66" s="39">
        <f t="shared" si="1"/>
        <v>46185</v>
      </c>
      <c r="C66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W09 (6/6 - 12/6)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</row>
    <row r="67" spans="1:14" x14ac:dyDescent="0.25">
      <c r="A67" s="38">
        <v>46186</v>
      </c>
      <c r="B67" s="39">
        <f t="shared" si="1"/>
        <v>46186</v>
      </c>
      <c r="C67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W10 (13/6 - 19/6)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</row>
    <row r="68" spans="1:14" x14ac:dyDescent="0.25">
      <c r="A68" s="38">
        <v>46187</v>
      </c>
      <c r="B68" s="39">
        <f t="shared" si="1"/>
        <v>46187</v>
      </c>
      <c r="C68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W10 (13/6 - 19/6)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</row>
    <row r="69" spans="1:14" x14ac:dyDescent="0.25">
      <c r="A69" s="38">
        <v>46188</v>
      </c>
      <c r="B69" s="39">
        <f t="shared" si="1"/>
        <v>46188</v>
      </c>
      <c r="C69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W10 (13/6 - 19/6)</v>
      </c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</row>
    <row r="70" spans="1:14" x14ac:dyDescent="0.25">
      <c r="A70" s="38">
        <v>46189</v>
      </c>
      <c r="B70" s="39">
        <f t="shared" ref="B70:B101" si="2">A70</f>
        <v>46189</v>
      </c>
      <c r="C70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W10 (13/6 - 19/6)</v>
      </c>
      <c r="D70" s="40">
        <v>0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</row>
    <row r="71" spans="1:14" x14ac:dyDescent="0.25">
      <c r="A71" s="38">
        <v>46190</v>
      </c>
      <c r="B71" s="39">
        <f t="shared" si="2"/>
        <v>46190</v>
      </c>
      <c r="C71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W10 (13/6 - 19/6)</v>
      </c>
      <c r="D71" s="40">
        <v>0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</row>
    <row r="72" spans="1:14" x14ac:dyDescent="0.25">
      <c r="A72" s="38">
        <v>46191</v>
      </c>
      <c r="B72" s="39">
        <f t="shared" si="2"/>
        <v>46191</v>
      </c>
      <c r="C72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W10 (13/6 - 19/6)</v>
      </c>
      <c r="D72" s="40">
        <v>0</v>
      </c>
      <c r="E72" s="40">
        <v>0</v>
      </c>
      <c r="F72" s="40">
        <v>0</v>
      </c>
      <c r="G72" s="40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</row>
    <row r="73" spans="1:14" x14ac:dyDescent="0.25">
      <c r="A73" s="38">
        <v>46192</v>
      </c>
      <c r="B73" s="39">
        <f t="shared" si="2"/>
        <v>46192</v>
      </c>
      <c r="C73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W10 (13/6 - 19/6)</v>
      </c>
      <c r="D73" s="40">
        <v>0</v>
      </c>
      <c r="E73" s="40">
        <v>0</v>
      </c>
      <c r="F73" s="40">
        <v>0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  <c r="M73" s="40">
        <v>0</v>
      </c>
      <c r="N73" s="40">
        <v>0</v>
      </c>
    </row>
    <row r="74" spans="1:14" x14ac:dyDescent="0.25">
      <c r="A74" s="38">
        <v>46193</v>
      </c>
      <c r="B74" s="39">
        <f t="shared" si="2"/>
        <v>46193</v>
      </c>
      <c r="C74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W11 (20/6 - 26/6)</v>
      </c>
      <c r="D74" s="40">
        <v>0</v>
      </c>
      <c r="E74" s="40">
        <v>0</v>
      </c>
      <c r="F74" s="40">
        <v>0</v>
      </c>
      <c r="G74" s="40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</row>
    <row r="75" spans="1:14" x14ac:dyDescent="0.25">
      <c r="A75" s="38">
        <v>46194</v>
      </c>
      <c r="B75" s="39">
        <f t="shared" si="2"/>
        <v>46194</v>
      </c>
      <c r="C75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W11 (20/6 - 26/6)</v>
      </c>
      <c r="D75" s="40">
        <v>0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</row>
    <row r="76" spans="1:14" x14ac:dyDescent="0.25">
      <c r="A76" s="38">
        <v>46195</v>
      </c>
      <c r="B76" s="39">
        <f t="shared" si="2"/>
        <v>46195</v>
      </c>
      <c r="C76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W11 (20/6 - 26/6)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</row>
    <row r="77" spans="1:14" x14ac:dyDescent="0.25">
      <c r="A77" s="38">
        <v>46196</v>
      </c>
      <c r="B77" s="39">
        <f t="shared" si="2"/>
        <v>46196</v>
      </c>
      <c r="C77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W11 (20/6 - 26/6)</v>
      </c>
      <c r="D77" s="40">
        <v>0</v>
      </c>
      <c r="E77" s="40">
        <v>0</v>
      </c>
      <c r="F77" s="40">
        <v>0</v>
      </c>
      <c r="G77" s="40">
        <v>0</v>
      </c>
      <c r="H77" s="40">
        <v>0</v>
      </c>
      <c r="I77" s="40">
        <v>0</v>
      </c>
      <c r="J77" s="40">
        <v>0</v>
      </c>
      <c r="K77" s="40">
        <v>0</v>
      </c>
      <c r="L77" s="40">
        <v>0</v>
      </c>
      <c r="M77" s="40">
        <v>0</v>
      </c>
      <c r="N77" s="40">
        <v>0</v>
      </c>
    </row>
    <row r="78" spans="1:14" x14ac:dyDescent="0.25">
      <c r="A78" s="38">
        <v>46197</v>
      </c>
      <c r="B78" s="39">
        <f t="shared" si="2"/>
        <v>46197</v>
      </c>
      <c r="C78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W11 (20/6 - 26/6)</v>
      </c>
      <c r="D78" s="40">
        <v>0</v>
      </c>
      <c r="E78" s="40">
        <v>0</v>
      </c>
      <c r="F78" s="40">
        <v>0</v>
      </c>
      <c r="G78" s="40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</row>
    <row r="79" spans="1:14" x14ac:dyDescent="0.25">
      <c r="A79" s="38">
        <v>46198</v>
      </c>
      <c r="B79" s="39">
        <f t="shared" si="2"/>
        <v>46198</v>
      </c>
      <c r="C79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W11 (20/6 - 26/6)</v>
      </c>
      <c r="D79" s="40">
        <v>0</v>
      </c>
      <c r="E79" s="40">
        <v>0</v>
      </c>
      <c r="F79" s="40">
        <v>0</v>
      </c>
      <c r="G79" s="40">
        <v>0</v>
      </c>
      <c r="H79" s="40">
        <v>0</v>
      </c>
      <c r="I79" s="40">
        <v>0</v>
      </c>
      <c r="J79" s="40">
        <v>0</v>
      </c>
      <c r="K79" s="40">
        <v>0</v>
      </c>
      <c r="L79" s="40">
        <v>0</v>
      </c>
      <c r="M79" s="40">
        <v>0</v>
      </c>
      <c r="N79" s="40">
        <v>0</v>
      </c>
    </row>
    <row r="80" spans="1:14" x14ac:dyDescent="0.25">
      <c r="A80" s="38">
        <v>46199</v>
      </c>
      <c r="B80" s="39">
        <f t="shared" si="2"/>
        <v>46199</v>
      </c>
      <c r="C80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W11 (20/6 - 26/6)</v>
      </c>
      <c r="D80" s="40">
        <v>0</v>
      </c>
      <c r="E80" s="40">
        <v>0</v>
      </c>
      <c r="F80" s="40">
        <v>0</v>
      </c>
      <c r="G80" s="40">
        <v>0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</row>
    <row r="81" spans="1:14" x14ac:dyDescent="0.25">
      <c r="A81" s="38">
        <v>46200</v>
      </c>
      <c r="B81" s="39">
        <f t="shared" si="2"/>
        <v>46200</v>
      </c>
      <c r="C81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W12 (27/6 - 3/7)</v>
      </c>
      <c r="D81" s="40">
        <v>0</v>
      </c>
      <c r="E81" s="40">
        <v>0</v>
      </c>
      <c r="F81" s="40">
        <v>0</v>
      </c>
      <c r="G81" s="40">
        <v>0</v>
      </c>
      <c r="H81" s="40">
        <v>0</v>
      </c>
      <c r="I81" s="40">
        <v>0</v>
      </c>
      <c r="J81" s="40">
        <v>0</v>
      </c>
      <c r="K81" s="40">
        <v>0</v>
      </c>
      <c r="L81" s="40">
        <v>0</v>
      </c>
      <c r="M81" s="40">
        <v>0</v>
      </c>
      <c r="N81" s="40">
        <v>0</v>
      </c>
    </row>
    <row r="82" spans="1:14" x14ac:dyDescent="0.25">
      <c r="A82" s="38">
        <v>46201</v>
      </c>
      <c r="B82" s="39">
        <f t="shared" si="2"/>
        <v>46201</v>
      </c>
      <c r="C82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W12 (27/6 - 3/7)</v>
      </c>
      <c r="D82" s="40">
        <v>0</v>
      </c>
      <c r="E82" s="40">
        <v>0</v>
      </c>
      <c r="F82" s="40">
        <v>0</v>
      </c>
      <c r="G82" s="40">
        <v>0</v>
      </c>
      <c r="H82" s="40">
        <v>0</v>
      </c>
      <c r="I82" s="40">
        <v>0</v>
      </c>
      <c r="J82" s="40">
        <v>0</v>
      </c>
      <c r="K82" s="40">
        <v>0</v>
      </c>
      <c r="L82" s="40">
        <v>0</v>
      </c>
      <c r="M82" s="40">
        <v>0</v>
      </c>
      <c r="N82" s="40">
        <v>0</v>
      </c>
    </row>
    <row r="83" spans="1:14" x14ac:dyDescent="0.25">
      <c r="A83" s="38">
        <v>46202</v>
      </c>
      <c r="B83" s="39">
        <f t="shared" si="2"/>
        <v>46202</v>
      </c>
      <c r="C83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W12 (27/6 - 3/7)</v>
      </c>
      <c r="D83" s="40">
        <v>0</v>
      </c>
      <c r="E83" s="40">
        <v>0</v>
      </c>
      <c r="F83" s="40">
        <v>0</v>
      </c>
      <c r="G83" s="40">
        <v>0</v>
      </c>
      <c r="H83" s="40">
        <v>0</v>
      </c>
      <c r="I83" s="40">
        <v>0</v>
      </c>
      <c r="J83" s="40">
        <v>0</v>
      </c>
      <c r="K83" s="40">
        <v>0</v>
      </c>
      <c r="L83" s="40">
        <v>0</v>
      </c>
      <c r="M83" s="40">
        <v>0</v>
      </c>
      <c r="N83" s="40">
        <v>0</v>
      </c>
    </row>
    <row r="84" spans="1:14" x14ac:dyDescent="0.25">
      <c r="A84" s="38">
        <v>46203</v>
      </c>
      <c r="B84" s="39">
        <f t="shared" si="2"/>
        <v>46203</v>
      </c>
      <c r="C84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W12 (27/6 - 3/7)</v>
      </c>
      <c r="D84" s="40">
        <v>0</v>
      </c>
      <c r="E84" s="40">
        <v>0</v>
      </c>
      <c r="F84" s="40">
        <v>0</v>
      </c>
      <c r="G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</row>
    <row r="85" spans="1:14" x14ac:dyDescent="0.25">
      <c r="A85" s="38">
        <v>46204</v>
      </c>
      <c r="B85" s="39">
        <f t="shared" si="2"/>
        <v>46204</v>
      </c>
      <c r="C85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W12 (27/6 - 3/7)</v>
      </c>
      <c r="D85" s="40">
        <v>0</v>
      </c>
      <c r="E85" s="40">
        <v>0</v>
      </c>
      <c r="F85" s="40">
        <v>0</v>
      </c>
      <c r="G85" s="40">
        <v>0</v>
      </c>
      <c r="H85" s="40">
        <v>0</v>
      </c>
      <c r="I85" s="40">
        <v>0</v>
      </c>
      <c r="J85" s="40">
        <v>0</v>
      </c>
      <c r="K85" s="40">
        <v>0</v>
      </c>
      <c r="L85" s="40">
        <v>0</v>
      </c>
      <c r="M85" s="40">
        <v>0</v>
      </c>
      <c r="N85" s="40">
        <v>0</v>
      </c>
    </row>
    <row r="86" spans="1:14" x14ac:dyDescent="0.25">
      <c r="A86" s="38">
        <v>46205</v>
      </c>
      <c r="B86" s="39">
        <f t="shared" si="2"/>
        <v>46205</v>
      </c>
      <c r="C86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W12 (27/6 - 3/7)</v>
      </c>
      <c r="D86" s="40">
        <v>0</v>
      </c>
      <c r="E86" s="40">
        <v>0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</row>
    <row r="87" spans="1:14" x14ac:dyDescent="0.25">
      <c r="A87" s="38">
        <v>46206</v>
      </c>
      <c r="B87" s="39">
        <f t="shared" si="2"/>
        <v>46206</v>
      </c>
      <c r="C87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W12 (27/6 - 3/7)</v>
      </c>
      <c r="D87" s="40">
        <v>0</v>
      </c>
      <c r="E87" s="40">
        <v>0</v>
      </c>
      <c r="F87" s="40">
        <v>0</v>
      </c>
      <c r="G87" s="40">
        <v>0</v>
      </c>
      <c r="H87" s="40">
        <v>0</v>
      </c>
      <c r="I87" s="40">
        <v>0</v>
      </c>
      <c r="J87" s="40">
        <v>0</v>
      </c>
      <c r="K87" s="40">
        <v>0</v>
      </c>
      <c r="L87" s="40">
        <v>0</v>
      </c>
      <c r="M87" s="40">
        <v>0</v>
      </c>
      <c r="N87" s="40">
        <v>0</v>
      </c>
    </row>
    <row r="88" spans="1:14" x14ac:dyDescent="0.25">
      <c r="A88" s="38">
        <v>46207</v>
      </c>
      <c r="B88" s="39">
        <f t="shared" si="2"/>
        <v>46207</v>
      </c>
      <c r="C88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W13 (4/7 - 10/7)</v>
      </c>
      <c r="D88" s="40">
        <v>0</v>
      </c>
      <c r="E88" s="40">
        <v>0</v>
      </c>
      <c r="F88" s="40">
        <v>0</v>
      </c>
      <c r="G88" s="40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  <c r="M88" s="40">
        <v>0</v>
      </c>
      <c r="N88" s="40">
        <v>0</v>
      </c>
    </row>
    <row r="89" spans="1:14" x14ac:dyDescent="0.25">
      <c r="A89" s="38">
        <v>46208</v>
      </c>
      <c r="B89" s="39">
        <f t="shared" si="2"/>
        <v>46208</v>
      </c>
      <c r="C89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W13 (4/7 - 10/7)</v>
      </c>
      <c r="D89" s="40">
        <v>0</v>
      </c>
      <c r="E89" s="40">
        <v>0</v>
      </c>
      <c r="F89" s="40">
        <v>0</v>
      </c>
      <c r="G89" s="40">
        <v>0</v>
      </c>
      <c r="H89" s="40">
        <v>0</v>
      </c>
      <c r="I89" s="40">
        <v>0</v>
      </c>
      <c r="J89" s="40">
        <v>0</v>
      </c>
      <c r="K89" s="40">
        <v>0</v>
      </c>
      <c r="L89" s="40">
        <v>0</v>
      </c>
      <c r="M89" s="40">
        <v>0</v>
      </c>
      <c r="N89" s="40">
        <v>0</v>
      </c>
    </row>
    <row r="90" spans="1:14" x14ac:dyDescent="0.25">
      <c r="A90" s="38">
        <v>46209</v>
      </c>
      <c r="B90" s="39">
        <f t="shared" si="2"/>
        <v>46209</v>
      </c>
      <c r="C90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W13 (4/7 - 10/7)</v>
      </c>
      <c r="D90" s="40">
        <v>0</v>
      </c>
      <c r="E90" s="40">
        <v>0</v>
      </c>
      <c r="F90" s="40">
        <v>0</v>
      </c>
      <c r="G90" s="40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</row>
    <row r="91" spans="1:14" x14ac:dyDescent="0.25">
      <c r="A91" s="38">
        <v>46210</v>
      </c>
      <c r="B91" s="39">
        <f t="shared" si="2"/>
        <v>46210</v>
      </c>
      <c r="C91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W13 (4/7 - 10/7)</v>
      </c>
      <c r="D91" s="40">
        <v>0</v>
      </c>
      <c r="E91" s="40">
        <v>0</v>
      </c>
      <c r="F91" s="40">
        <v>0</v>
      </c>
      <c r="G91" s="40">
        <v>0</v>
      </c>
      <c r="H91" s="40">
        <v>0</v>
      </c>
      <c r="I91" s="40">
        <v>0</v>
      </c>
      <c r="J91" s="40">
        <v>0</v>
      </c>
      <c r="K91" s="40">
        <v>0</v>
      </c>
      <c r="L91" s="40">
        <v>0</v>
      </c>
      <c r="M91" s="40">
        <v>0</v>
      </c>
      <c r="N91" s="40">
        <v>0</v>
      </c>
    </row>
    <row r="92" spans="1:14" x14ac:dyDescent="0.25">
      <c r="A92" s="38">
        <v>46211</v>
      </c>
      <c r="B92" s="39">
        <f t="shared" si="2"/>
        <v>46211</v>
      </c>
      <c r="C92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W13 (4/7 - 10/7)</v>
      </c>
      <c r="D92" s="40">
        <v>0</v>
      </c>
      <c r="E92" s="40">
        <v>0</v>
      </c>
      <c r="F92" s="40">
        <v>0</v>
      </c>
      <c r="G92" s="40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40">
        <v>0</v>
      </c>
    </row>
    <row r="93" spans="1:14" x14ac:dyDescent="0.25">
      <c r="A93" s="38">
        <v>46212</v>
      </c>
      <c r="B93" s="39">
        <f t="shared" si="2"/>
        <v>46212</v>
      </c>
      <c r="C93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W13 (4/7 - 10/7)</v>
      </c>
      <c r="D93" s="40">
        <v>0</v>
      </c>
      <c r="E93" s="40">
        <v>0</v>
      </c>
      <c r="F93" s="40">
        <v>0</v>
      </c>
      <c r="G93" s="40">
        <v>0</v>
      </c>
      <c r="H93" s="40">
        <v>0</v>
      </c>
      <c r="I93" s="40">
        <v>0</v>
      </c>
      <c r="J93" s="40">
        <v>0</v>
      </c>
      <c r="K93" s="40">
        <v>0</v>
      </c>
      <c r="L93" s="40">
        <v>0</v>
      </c>
      <c r="M93" s="40">
        <v>0</v>
      </c>
      <c r="N93" s="40">
        <v>0</v>
      </c>
    </row>
    <row r="94" spans="1:14" x14ac:dyDescent="0.25">
      <c r="A94" s="38">
        <v>46213</v>
      </c>
      <c r="B94" s="39">
        <f t="shared" si="2"/>
        <v>46213</v>
      </c>
      <c r="C94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W13 (4/7 - 10/7)</v>
      </c>
      <c r="D94" s="40">
        <v>0</v>
      </c>
      <c r="E94" s="40">
        <v>0</v>
      </c>
      <c r="F94" s="40">
        <v>0</v>
      </c>
      <c r="G94" s="40">
        <v>0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  <c r="M94" s="40">
        <v>0</v>
      </c>
      <c r="N94" s="40">
        <v>0</v>
      </c>
    </row>
    <row r="95" spans="1:14" x14ac:dyDescent="0.25">
      <c r="A95" s="38">
        <v>46214</v>
      </c>
      <c r="B95" s="39">
        <f t="shared" si="2"/>
        <v>46214</v>
      </c>
      <c r="C95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W14 (11/7 - 17/7)</v>
      </c>
      <c r="D95" s="40">
        <v>0</v>
      </c>
      <c r="E95" s="40">
        <v>0</v>
      </c>
      <c r="F95" s="40">
        <v>0</v>
      </c>
      <c r="G95" s="40">
        <v>0</v>
      </c>
      <c r="H95" s="40">
        <v>0</v>
      </c>
      <c r="I95" s="40">
        <v>0</v>
      </c>
      <c r="J95" s="40">
        <v>0</v>
      </c>
      <c r="K95" s="40">
        <v>0</v>
      </c>
      <c r="L95" s="40">
        <v>0</v>
      </c>
      <c r="M95" s="40">
        <v>0</v>
      </c>
      <c r="N95" s="40">
        <v>0</v>
      </c>
    </row>
    <row r="96" spans="1:14" x14ac:dyDescent="0.25">
      <c r="A96" s="38">
        <v>46215</v>
      </c>
      <c r="B96" s="39">
        <f t="shared" si="2"/>
        <v>46215</v>
      </c>
      <c r="C96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W14 (11/7 - 17/7)</v>
      </c>
      <c r="D96" s="40">
        <v>0</v>
      </c>
      <c r="E96" s="40">
        <v>0</v>
      </c>
      <c r="F96" s="40">
        <v>0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</row>
    <row r="97" spans="1:14" x14ac:dyDescent="0.25">
      <c r="A97" s="38">
        <v>46216</v>
      </c>
      <c r="B97" s="39">
        <f t="shared" si="2"/>
        <v>46216</v>
      </c>
      <c r="C97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W14 (11/7 - 17/7)</v>
      </c>
      <c r="D97" s="40">
        <v>0</v>
      </c>
      <c r="E97" s="40">
        <v>0</v>
      </c>
      <c r="F97" s="40">
        <v>0</v>
      </c>
      <c r="G97" s="40">
        <v>0</v>
      </c>
      <c r="H97" s="40">
        <v>0</v>
      </c>
      <c r="I97" s="40">
        <v>0</v>
      </c>
      <c r="J97" s="40">
        <v>0</v>
      </c>
      <c r="K97" s="40">
        <v>0</v>
      </c>
      <c r="L97" s="40">
        <v>0</v>
      </c>
      <c r="M97" s="40">
        <v>0</v>
      </c>
      <c r="N97" s="40">
        <v>0</v>
      </c>
    </row>
    <row r="98" spans="1:14" x14ac:dyDescent="0.25">
      <c r="A98" s="38">
        <v>46217</v>
      </c>
      <c r="B98" s="39">
        <f t="shared" si="2"/>
        <v>46217</v>
      </c>
      <c r="C98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W14 (11/7 - 17/7)</v>
      </c>
      <c r="D98" s="40">
        <v>0</v>
      </c>
      <c r="E98" s="40">
        <v>0</v>
      </c>
      <c r="F98" s="40">
        <v>0</v>
      </c>
      <c r="G98" s="40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</row>
    <row r="99" spans="1:14" x14ac:dyDescent="0.25">
      <c r="A99" s="38">
        <v>46218</v>
      </c>
      <c r="B99" s="39">
        <f t="shared" si="2"/>
        <v>46218</v>
      </c>
      <c r="C99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W14 (11/7 - 17/7)</v>
      </c>
      <c r="D99" s="40">
        <v>0</v>
      </c>
      <c r="E99" s="40">
        <v>0</v>
      </c>
      <c r="F99" s="40">
        <v>0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0</v>
      </c>
      <c r="M99" s="40">
        <v>0</v>
      </c>
      <c r="N99" s="40">
        <v>0</v>
      </c>
    </row>
    <row r="100" spans="1:14" x14ac:dyDescent="0.25">
      <c r="A100" s="38">
        <v>46219</v>
      </c>
      <c r="B100" s="39">
        <f t="shared" si="2"/>
        <v>46219</v>
      </c>
      <c r="C100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W14 (11/7 - 17/7)</v>
      </c>
      <c r="D100" s="40">
        <v>0</v>
      </c>
      <c r="E100" s="40">
        <v>0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</row>
    <row r="101" spans="1:14" x14ac:dyDescent="0.25">
      <c r="A101" s="38">
        <v>46220</v>
      </c>
      <c r="B101" s="39">
        <f t="shared" si="2"/>
        <v>46220</v>
      </c>
      <c r="C101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W14 (11/7 - 17/7)</v>
      </c>
      <c r="D101" s="40">
        <v>0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40">
        <v>0</v>
      </c>
    </row>
    <row r="102" spans="1:14" x14ac:dyDescent="0.25">
      <c r="A102" s="38">
        <v>46221</v>
      </c>
      <c r="B102" s="39">
        <f t="shared" ref="B102:B133" si="3">A102</f>
        <v>46221</v>
      </c>
      <c r="C102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W15 (18/7 - 24/7)</v>
      </c>
      <c r="D102" s="40">
        <v>0</v>
      </c>
      <c r="E102" s="40">
        <v>0</v>
      </c>
      <c r="F102" s="40">
        <v>0</v>
      </c>
      <c r="G102" s="40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0">
        <v>0</v>
      </c>
    </row>
    <row r="103" spans="1:14" x14ac:dyDescent="0.25">
      <c r="A103" s="38">
        <v>46222</v>
      </c>
      <c r="B103" s="39">
        <f t="shared" si="3"/>
        <v>46222</v>
      </c>
      <c r="C103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W15 (18/7 - 24/7)</v>
      </c>
      <c r="D103" s="40">
        <v>0</v>
      </c>
      <c r="E103" s="40">
        <v>0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M103" s="40">
        <v>0</v>
      </c>
      <c r="N103" s="40">
        <v>0</v>
      </c>
    </row>
    <row r="104" spans="1:14" x14ac:dyDescent="0.25">
      <c r="A104" s="38">
        <v>46223</v>
      </c>
      <c r="B104" s="39">
        <f t="shared" si="3"/>
        <v>46223</v>
      </c>
      <c r="C104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W15 (18/7 - 24/7)</v>
      </c>
      <c r="D104" s="40">
        <v>0</v>
      </c>
      <c r="E104" s="40">
        <v>0</v>
      </c>
      <c r="F104" s="40">
        <v>0</v>
      </c>
      <c r="G104" s="40">
        <v>0</v>
      </c>
      <c r="H104" s="40">
        <v>0</v>
      </c>
      <c r="I104" s="40">
        <v>0</v>
      </c>
      <c r="J104" s="40">
        <v>0</v>
      </c>
      <c r="K104" s="40">
        <v>0</v>
      </c>
      <c r="L104" s="40">
        <v>0</v>
      </c>
      <c r="M104" s="40">
        <v>0</v>
      </c>
      <c r="N104" s="40">
        <v>0</v>
      </c>
    </row>
    <row r="105" spans="1:14" x14ac:dyDescent="0.25">
      <c r="A105" s="38">
        <v>46224</v>
      </c>
      <c r="B105" s="39">
        <f t="shared" si="3"/>
        <v>46224</v>
      </c>
      <c r="C105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W15 (18/7 - 24/7)</v>
      </c>
      <c r="D105" s="40">
        <v>0</v>
      </c>
      <c r="E105" s="40">
        <v>0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0</v>
      </c>
      <c r="N105" s="40">
        <v>0</v>
      </c>
    </row>
    <row r="106" spans="1:14" x14ac:dyDescent="0.25">
      <c r="A106" s="38">
        <v>46225</v>
      </c>
      <c r="B106" s="39">
        <f t="shared" si="3"/>
        <v>46225</v>
      </c>
      <c r="C106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W15 (18/7 - 24/7)</v>
      </c>
      <c r="D106" s="40">
        <v>0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0">
        <v>0</v>
      </c>
    </row>
    <row r="107" spans="1:14" x14ac:dyDescent="0.25">
      <c r="A107" s="38">
        <v>46226</v>
      </c>
      <c r="B107" s="39">
        <f t="shared" si="3"/>
        <v>46226</v>
      </c>
      <c r="C107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W15 (18/7 - 24/7)</v>
      </c>
      <c r="D107" s="40">
        <v>0</v>
      </c>
      <c r="E107" s="40">
        <v>0</v>
      </c>
      <c r="F107" s="40">
        <v>0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M107" s="40">
        <v>0</v>
      </c>
      <c r="N107" s="40">
        <v>0</v>
      </c>
    </row>
    <row r="108" spans="1:14" x14ac:dyDescent="0.25">
      <c r="A108" s="38">
        <v>46227</v>
      </c>
      <c r="B108" s="39">
        <f t="shared" si="3"/>
        <v>46227</v>
      </c>
      <c r="C108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W15 (18/7 - 24/7)</v>
      </c>
      <c r="D108" s="40">
        <v>0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</row>
    <row r="109" spans="1:14" x14ac:dyDescent="0.25">
      <c r="A109" s="38">
        <v>46228</v>
      </c>
      <c r="B109" s="39">
        <f t="shared" si="3"/>
        <v>46228</v>
      </c>
      <c r="C109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W16 (25/7 - 31/7)</v>
      </c>
      <c r="D109" s="40">
        <v>0</v>
      </c>
      <c r="E109" s="40">
        <v>0</v>
      </c>
      <c r="F109" s="40">
        <v>0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0</v>
      </c>
      <c r="N109" s="40">
        <v>0</v>
      </c>
    </row>
    <row r="110" spans="1:14" x14ac:dyDescent="0.25">
      <c r="A110" s="38">
        <v>46229</v>
      </c>
      <c r="B110" s="39">
        <f t="shared" si="3"/>
        <v>46229</v>
      </c>
      <c r="C110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W16 (25/7 - 31/7)</v>
      </c>
      <c r="D110" s="40">
        <v>0</v>
      </c>
      <c r="E110" s="40">
        <v>0</v>
      </c>
      <c r="F110" s="40">
        <v>0</v>
      </c>
      <c r="G110" s="40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v>0</v>
      </c>
      <c r="N110" s="40">
        <v>0</v>
      </c>
    </row>
    <row r="111" spans="1:14" x14ac:dyDescent="0.25">
      <c r="A111" s="38">
        <v>46230</v>
      </c>
      <c r="B111" s="39">
        <f t="shared" si="3"/>
        <v>46230</v>
      </c>
      <c r="C111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W16 (25/7 - 31/7)</v>
      </c>
      <c r="D111" s="40">
        <v>0</v>
      </c>
      <c r="E111" s="40">
        <v>0</v>
      </c>
      <c r="F111" s="40">
        <v>0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40">
        <v>0</v>
      </c>
      <c r="N111" s="40">
        <v>0</v>
      </c>
    </row>
    <row r="112" spans="1:14" x14ac:dyDescent="0.25">
      <c r="A112" s="38">
        <v>46231</v>
      </c>
      <c r="B112" s="39">
        <f t="shared" si="3"/>
        <v>46231</v>
      </c>
      <c r="C112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W16 (25/7 - 31/7)</v>
      </c>
      <c r="D112" s="40">
        <v>0</v>
      </c>
      <c r="E112" s="40">
        <v>0</v>
      </c>
      <c r="F112" s="40">
        <v>0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</row>
    <row r="113" spans="1:14" x14ac:dyDescent="0.25">
      <c r="A113" s="38">
        <v>46232</v>
      </c>
      <c r="B113" s="39">
        <f t="shared" si="3"/>
        <v>46232</v>
      </c>
      <c r="C113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W16 (25/7 - 31/7)</v>
      </c>
      <c r="D113" s="40">
        <v>0</v>
      </c>
      <c r="E113" s="40">
        <v>0</v>
      </c>
      <c r="F113" s="40">
        <v>0</v>
      </c>
      <c r="G113" s="40">
        <v>0</v>
      </c>
      <c r="H113" s="40">
        <v>0</v>
      </c>
      <c r="I113" s="40">
        <v>0</v>
      </c>
      <c r="J113" s="40">
        <v>0</v>
      </c>
      <c r="K113" s="40">
        <v>0</v>
      </c>
      <c r="L113" s="40">
        <v>0</v>
      </c>
      <c r="M113" s="40">
        <v>0</v>
      </c>
      <c r="N113" s="40">
        <v>0</v>
      </c>
    </row>
    <row r="114" spans="1:14" x14ac:dyDescent="0.25">
      <c r="A114" s="38">
        <v>46233</v>
      </c>
      <c r="B114" s="39">
        <f t="shared" si="3"/>
        <v>46233</v>
      </c>
      <c r="C114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W16 (25/7 - 31/7)</v>
      </c>
      <c r="D114" s="40">
        <v>0</v>
      </c>
      <c r="E114" s="40">
        <v>0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0</v>
      </c>
      <c r="N114" s="40">
        <v>0</v>
      </c>
    </row>
    <row r="115" spans="1:14" x14ac:dyDescent="0.25">
      <c r="A115" s="41">
        <v>46234</v>
      </c>
      <c r="B115" s="42">
        <f t="shared" si="3"/>
        <v>46234</v>
      </c>
      <c r="C115" s="43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W16 (25/7 - 31/7)</v>
      </c>
      <c r="D115" s="40">
        <v>0</v>
      </c>
      <c r="E115" s="40">
        <v>0</v>
      </c>
      <c r="F115" s="40">
        <v>0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M115" s="40">
        <v>0</v>
      </c>
      <c r="N115" s="40">
        <v>0</v>
      </c>
    </row>
    <row r="116" spans="1:14" x14ac:dyDescent="0.25">
      <c r="A116" s="38">
        <v>46235</v>
      </c>
      <c r="B116" s="39">
        <f t="shared" si="3"/>
        <v>46235</v>
      </c>
      <c r="C116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W17 (1/8 - 7/8)</v>
      </c>
      <c r="D116" s="40">
        <v>0</v>
      </c>
      <c r="E116" s="40">
        <v>0</v>
      </c>
      <c r="F116" s="40">
        <v>0</v>
      </c>
      <c r="G116" s="40">
        <v>0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</row>
    <row r="117" spans="1:14" x14ac:dyDescent="0.25">
      <c r="A117" s="38">
        <v>46236</v>
      </c>
      <c r="B117" s="39">
        <f t="shared" si="3"/>
        <v>46236</v>
      </c>
      <c r="C117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W17 (1/8 - 7/8)</v>
      </c>
      <c r="D117" s="40">
        <v>0</v>
      </c>
      <c r="E117" s="40">
        <v>0</v>
      </c>
      <c r="F117" s="40">
        <v>0</v>
      </c>
      <c r="G117" s="40">
        <v>0</v>
      </c>
      <c r="H117" s="40">
        <v>0</v>
      </c>
      <c r="I117" s="40">
        <v>0</v>
      </c>
      <c r="J117" s="40">
        <v>0</v>
      </c>
      <c r="K117" s="40">
        <v>0</v>
      </c>
      <c r="L117" s="40">
        <v>0</v>
      </c>
      <c r="M117" s="40">
        <v>0</v>
      </c>
      <c r="N117" s="40">
        <v>0</v>
      </c>
    </row>
    <row r="118" spans="1:14" x14ac:dyDescent="0.25">
      <c r="A118" s="38">
        <v>46237</v>
      </c>
      <c r="B118" s="42">
        <f t="shared" si="3"/>
        <v>46237</v>
      </c>
      <c r="C118" s="43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W17 (1/8 - 7/8)</v>
      </c>
      <c r="D118" s="40">
        <v>0</v>
      </c>
      <c r="E118" s="40">
        <v>0</v>
      </c>
      <c r="F118" s="40">
        <v>0</v>
      </c>
      <c r="G118" s="40">
        <v>0</v>
      </c>
      <c r="H118" s="40">
        <v>0</v>
      </c>
      <c r="I118" s="40">
        <v>0</v>
      </c>
      <c r="J118" s="40">
        <v>0</v>
      </c>
      <c r="K118" s="40">
        <v>0</v>
      </c>
      <c r="L118" s="40">
        <v>0</v>
      </c>
      <c r="M118" s="40">
        <v>0</v>
      </c>
      <c r="N118" s="40">
        <v>0</v>
      </c>
    </row>
    <row r="119" spans="1:14" x14ac:dyDescent="0.25">
      <c r="A119" s="38">
        <v>46238</v>
      </c>
      <c r="B119" s="39">
        <f t="shared" si="3"/>
        <v>46238</v>
      </c>
      <c r="C119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W17 (1/8 - 7/8)</v>
      </c>
      <c r="D119" s="40">
        <v>0</v>
      </c>
      <c r="E119" s="40">
        <v>0</v>
      </c>
      <c r="F119" s="40">
        <v>0</v>
      </c>
      <c r="G119" s="40">
        <v>0</v>
      </c>
      <c r="H119" s="40">
        <v>0</v>
      </c>
      <c r="I119" s="40">
        <v>0</v>
      </c>
      <c r="J119" s="40">
        <v>0</v>
      </c>
      <c r="K119" s="40">
        <v>0</v>
      </c>
      <c r="L119" s="40">
        <v>0</v>
      </c>
      <c r="M119" s="40">
        <v>0</v>
      </c>
      <c r="N119" s="40">
        <v>0</v>
      </c>
    </row>
    <row r="120" spans="1:14" x14ac:dyDescent="0.25">
      <c r="A120" s="38">
        <v>46239</v>
      </c>
      <c r="B120" s="39">
        <f t="shared" si="3"/>
        <v>46239</v>
      </c>
      <c r="C120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W17 (1/8 - 7/8)</v>
      </c>
      <c r="D120" s="40">
        <v>0</v>
      </c>
      <c r="E120" s="40">
        <v>0</v>
      </c>
      <c r="F120" s="40">
        <v>0</v>
      </c>
      <c r="G120" s="40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0</v>
      </c>
      <c r="N120" s="40">
        <v>0</v>
      </c>
    </row>
    <row r="121" spans="1:14" x14ac:dyDescent="0.25">
      <c r="A121" s="41">
        <v>46240</v>
      </c>
      <c r="B121" s="39">
        <f t="shared" si="3"/>
        <v>46240</v>
      </c>
      <c r="C121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W17 (1/8 - 7/8)</v>
      </c>
      <c r="D121" s="40">
        <v>0</v>
      </c>
      <c r="E121" s="40">
        <v>0</v>
      </c>
      <c r="F121" s="40">
        <v>0</v>
      </c>
      <c r="G121" s="40">
        <v>0</v>
      </c>
      <c r="H121" s="40">
        <v>0</v>
      </c>
      <c r="I121" s="40">
        <v>0</v>
      </c>
      <c r="J121" s="40">
        <v>0</v>
      </c>
      <c r="K121" s="40">
        <v>0</v>
      </c>
      <c r="L121" s="40">
        <v>0</v>
      </c>
      <c r="M121" s="40">
        <v>0</v>
      </c>
      <c r="N121" s="40">
        <v>0</v>
      </c>
    </row>
    <row r="122" spans="1:14" x14ac:dyDescent="0.25">
      <c r="A122" s="38">
        <v>46241</v>
      </c>
      <c r="B122" s="39">
        <f t="shared" si="3"/>
        <v>46241</v>
      </c>
      <c r="C122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W17 (1/8 - 7/8)</v>
      </c>
      <c r="D122" s="40">
        <v>0</v>
      </c>
      <c r="E122" s="40">
        <v>0</v>
      </c>
      <c r="F122" s="40">
        <v>0</v>
      </c>
      <c r="G122" s="40">
        <v>0</v>
      </c>
      <c r="H122" s="40">
        <v>0</v>
      </c>
      <c r="I122" s="40">
        <v>0</v>
      </c>
      <c r="J122" s="40">
        <v>0</v>
      </c>
      <c r="K122" s="40">
        <v>0</v>
      </c>
      <c r="L122" s="40">
        <v>0</v>
      </c>
      <c r="M122" s="40">
        <v>0</v>
      </c>
      <c r="N122" s="40">
        <v>0</v>
      </c>
    </row>
    <row r="123" spans="1:14" x14ac:dyDescent="0.25">
      <c r="A123" s="38">
        <v>46242</v>
      </c>
      <c r="B123" s="39">
        <f t="shared" si="3"/>
        <v>46242</v>
      </c>
      <c r="C123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W18 (8/8 - 14/8)</v>
      </c>
      <c r="D123" s="40">
        <v>0</v>
      </c>
      <c r="E123" s="40">
        <v>0</v>
      </c>
      <c r="F123" s="40">
        <v>0</v>
      </c>
      <c r="G123" s="40">
        <v>0</v>
      </c>
      <c r="H123" s="40">
        <v>0</v>
      </c>
      <c r="I123" s="40">
        <v>0</v>
      </c>
      <c r="J123" s="40">
        <v>0</v>
      </c>
      <c r="K123" s="40">
        <v>0</v>
      </c>
      <c r="L123" s="40">
        <v>0</v>
      </c>
      <c r="M123" s="40">
        <v>0</v>
      </c>
      <c r="N123" s="40">
        <v>0</v>
      </c>
    </row>
    <row r="124" spans="1:14" x14ac:dyDescent="0.25">
      <c r="A124" s="38">
        <v>46243</v>
      </c>
      <c r="B124" s="42">
        <f t="shared" si="3"/>
        <v>46243</v>
      </c>
      <c r="C124" s="43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W18 (8/8 - 14/8)</v>
      </c>
      <c r="D124" s="40">
        <v>0</v>
      </c>
      <c r="E124" s="40">
        <v>0</v>
      </c>
      <c r="F124" s="40">
        <v>0</v>
      </c>
      <c r="G124" s="40">
        <v>0</v>
      </c>
      <c r="H124" s="40">
        <v>0</v>
      </c>
      <c r="I124" s="40">
        <v>0</v>
      </c>
      <c r="J124" s="40">
        <v>0</v>
      </c>
      <c r="K124" s="40">
        <v>0</v>
      </c>
      <c r="L124" s="40">
        <v>0</v>
      </c>
      <c r="M124" s="40">
        <v>0</v>
      </c>
      <c r="N124" s="40">
        <v>0</v>
      </c>
    </row>
    <row r="125" spans="1:14" x14ac:dyDescent="0.25">
      <c r="A125" s="38">
        <v>46244</v>
      </c>
      <c r="B125" s="39">
        <f t="shared" si="3"/>
        <v>46244</v>
      </c>
      <c r="C125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W18 (8/8 - 14/8)</v>
      </c>
      <c r="D125" s="40">
        <v>0</v>
      </c>
      <c r="E125" s="40">
        <v>0</v>
      </c>
      <c r="F125" s="40">
        <v>0</v>
      </c>
      <c r="G125" s="40">
        <v>0</v>
      </c>
      <c r="H125" s="40">
        <v>0</v>
      </c>
      <c r="I125" s="40">
        <v>0</v>
      </c>
      <c r="J125" s="40">
        <v>0</v>
      </c>
      <c r="K125" s="40">
        <v>0</v>
      </c>
      <c r="L125" s="40">
        <v>0</v>
      </c>
      <c r="M125" s="40">
        <v>0</v>
      </c>
      <c r="N125" s="40">
        <v>0</v>
      </c>
    </row>
    <row r="126" spans="1:14" x14ac:dyDescent="0.25">
      <c r="A126" s="38">
        <v>46245</v>
      </c>
      <c r="B126" s="39">
        <f t="shared" si="3"/>
        <v>46245</v>
      </c>
      <c r="C126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W18 (8/8 - 14/8)</v>
      </c>
      <c r="D126" s="40">
        <v>0</v>
      </c>
      <c r="E126" s="40">
        <v>0</v>
      </c>
      <c r="F126" s="40">
        <v>0</v>
      </c>
      <c r="G126" s="40">
        <v>0</v>
      </c>
      <c r="H126" s="40">
        <v>0</v>
      </c>
      <c r="I126" s="40">
        <v>0</v>
      </c>
      <c r="J126" s="40">
        <v>0</v>
      </c>
      <c r="K126" s="40">
        <v>0</v>
      </c>
      <c r="L126" s="40">
        <v>0</v>
      </c>
      <c r="M126" s="40">
        <v>0</v>
      </c>
      <c r="N126" s="40">
        <v>0</v>
      </c>
    </row>
    <row r="127" spans="1:14" x14ac:dyDescent="0.25">
      <c r="A127" s="38">
        <v>46246</v>
      </c>
      <c r="B127" s="39">
        <f t="shared" si="3"/>
        <v>46246</v>
      </c>
      <c r="C127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W18 (8/8 - 14/8)</v>
      </c>
      <c r="D127" s="40">
        <v>0</v>
      </c>
      <c r="E127" s="40">
        <v>0</v>
      </c>
      <c r="F127" s="40">
        <v>0</v>
      </c>
      <c r="G127" s="40">
        <v>0</v>
      </c>
      <c r="H127" s="40">
        <v>0</v>
      </c>
      <c r="I127" s="40">
        <v>0</v>
      </c>
      <c r="J127" s="40">
        <v>0</v>
      </c>
      <c r="K127" s="40">
        <v>0</v>
      </c>
      <c r="L127" s="40">
        <v>0</v>
      </c>
      <c r="M127" s="40">
        <v>0</v>
      </c>
      <c r="N127" s="40">
        <v>0</v>
      </c>
    </row>
    <row r="128" spans="1:14" x14ac:dyDescent="0.25">
      <c r="A128" s="38">
        <v>46247</v>
      </c>
      <c r="B128" s="39">
        <f t="shared" si="3"/>
        <v>46247</v>
      </c>
      <c r="C128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W18 (8/8 - 14/8)</v>
      </c>
      <c r="D128" s="40">
        <v>0</v>
      </c>
      <c r="E128" s="40">
        <v>0</v>
      </c>
      <c r="F128" s="40">
        <v>0</v>
      </c>
      <c r="G128" s="40">
        <v>0</v>
      </c>
      <c r="H128" s="40">
        <v>0</v>
      </c>
      <c r="I128" s="40">
        <v>0</v>
      </c>
      <c r="J128" s="40">
        <v>0</v>
      </c>
      <c r="K128" s="40">
        <v>0</v>
      </c>
      <c r="L128" s="40">
        <v>0</v>
      </c>
      <c r="M128" s="40">
        <v>0</v>
      </c>
      <c r="N128" s="40">
        <v>0</v>
      </c>
    </row>
    <row r="129" spans="1:14" x14ac:dyDescent="0.25">
      <c r="A129" s="38">
        <v>46248</v>
      </c>
      <c r="B129" s="39">
        <f t="shared" si="3"/>
        <v>46248</v>
      </c>
      <c r="C129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W18 (8/8 - 14/8)</v>
      </c>
      <c r="D129" s="40">
        <v>0</v>
      </c>
      <c r="E129" s="40">
        <v>0</v>
      </c>
      <c r="F129" s="40">
        <v>0</v>
      </c>
      <c r="G129" s="40">
        <v>0</v>
      </c>
      <c r="H129" s="40">
        <v>0</v>
      </c>
      <c r="I129" s="40">
        <v>0</v>
      </c>
      <c r="J129" s="40">
        <v>0</v>
      </c>
      <c r="K129" s="40">
        <v>0</v>
      </c>
      <c r="L129" s="40">
        <v>0</v>
      </c>
      <c r="M129" s="40">
        <v>0</v>
      </c>
      <c r="N129" s="40">
        <v>0</v>
      </c>
    </row>
    <row r="130" spans="1:14" x14ac:dyDescent="0.25">
      <c r="A130" s="38">
        <v>46249</v>
      </c>
      <c r="B130" s="39">
        <f t="shared" si="3"/>
        <v>46249</v>
      </c>
      <c r="C130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W19 (15/8 - 21/8)</v>
      </c>
      <c r="D130" s="40">
        <v>0</v>
      </c>
      <c r="E130" s="40">
        <v>0</v>
      </c>
      <c r="F130" s="40">
        <v>0</v>
      </c>
      <c r="G130" s="40">
        <v>0</v>
      </c>
      <c r="H130" s="40">
        <v>0</v>
      </c>
      <c r="I130" s="40">
        <v>0</v>
      </c>
      <c r="J130" s="40">
        <v>0</v>
      </c>
      <c r="K130" s="40">
        <v>0</v>
      </c>
      <c r="L130" s="40">
        <v>0</v>
      </c>
      <c r="M130" s="40">
        <v>0</v>
      </c>
      <c r="N130" s="40">
        <v>0</v>
      </c>
    </row>
    <row r="131" spans="1:14" x14ac:dyDescent="0.25">
      <c r="A131" s="38">
        <v>46250</v>
      </c>
      <c r="B131" s="39">
        <f t="shared" si="3"/>
        <v>46250</v>
      </c>
      <c r="C131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W19 (15/8 - 21/8)</v>
      </c>
      <c r="D131" s="40">
        <v>0</v>
      </c>
      <c r="E131" s="40">
        <v>0</v>
      </c>
      <c r="F131" s="40">
        <v>0</v>
      </c>
      <c r="G131" s="40">
        <v>0</v>
      </c>
      <c r="H131" s="40">
        <v>0</v>
      </c>
      <c r="I131" s="40">
        <v>0</v>
      </c>
      <c r="J131" s="40">
        <v>0</v>
      </c>
      <c r="K131" s="40">
        <v>0</v>
      </c>
      <c r="L131" s="40">
        <v>0</v>
      </c>
      <c r="M131" s="40">
        <v>0</v>
      </c>
      <c r="N131" s="40">
        <v>0</v>
      </c>
    </row>
    <row r="132" spans="1:14" x14ac:dyDescent="0.25">
      <c r="A132" s="38">
        <v>46251</v>
      </c>
      <c r="B132" s="39">
        <f t="shared" si="3"/>
        <v>46251</v>
      </c>
      <c r="C132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W19 (15/8 - 21/8)</v>
      </c>
      <c r="D132" s="40">
        <v>0</v>
      </c>
      <c r="E132" s="40">
        <v>0</v>
      </c>
      <c r="F132" s="40">
        <v>0</v>
      </c>
      <c r="G132" s="40">
        <v>0</v>
      </c>
      <c r="H132" s="40">
        <v>0</v>
      </c>
      <c r="I132" s="40">
        <v>0</v>
      </c>
      <c r="J132" s="40">
        <v>0</v>
      </c>
      <c r="K132" s="40">
        <v>0</v>
      </c>
      <c r="L132" s="40">
        <v>0</v>
      </c>
      <c r="M132" s="40">
        <v>0</v>
      </c>
      <c r="N132" s="40">
        <v>0</v>
      </c>
    </row>
    <row r="133" spans="1:14" x14ac:dyDescent="0.25">
      <c r="A133" s="38">
        <v>46252</v>
      </c>
      <c r="B133" s="39">
        <f t="shared" si="3"/>
        <v>46252</v>
      </c>
      <c r="C133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W19 (15/8 - 21/8)</v>
      </c>
      <c r="D133" s="40">
        <v>0</v>
      </c>
      <c r="E133" s="40">
        <v>0</v>
      </c>
      <c r="F133" s="40">
        <v>0</v>
      </c>
      <c r="G133" s="40">
        <v>0</v>
      </c>
      <c r="H133" s="40">
        <v>0</v>
      </c>
      <c r="I133" s="40">
        <v>0</v>
      </c>
      <c r="J133" s="40">
        <v>0</v>
      </c>
      <c r="K133" s="40">
        <v>0</v>
      </c>
      <c r="L133" s="40">
        <v>0</v>
      </c>
      <c r="M133" s="40">
        <v>0</v>
      </c>
      <c r="N133" s="40">
        <v>0</v>
      </c>
    </row>
    <row r="134" spans="1:14" x14ac:dyDescent="0.25">
      <c r="A134" s="38">
        <v>46253</v>
      </c>
      <c r="B134" s="39">
        <f t="shared" ref="B134:B165" si="4">A134</f>
        <v>46253</v>
      </c>
      <c r="C134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W19 (15/8 - 21/8)</v>
      </c>
      <c r="D134" s="40">
        <v>0</v>
      </c>
      <c r="E134" s="40">
        <v>0</v>
      </c>
      <c r="F134" s="40">
        <v>0</v>
      </c>
      <c r="G134" s="40">
        <v>0</v>
      </c>
      <c r="H134" s="40">
        <v>0</v>
      </c>
      <c r="I134" s="40">
        <v>0</v>
      </c>
      <c r="J134" s="40">
        <v>0</v>
      </c>
      <c r="K134" s="40">
        <v>0</v>
      </c>
      <c r="L134" s="40">
        <v>0</v>
      </c>
      <c r="M134" s="40">
        <v>0</v>
      </c>
      <c r="N134" s="40">
        <v>0</v>
      </c>
    </row>
    <row r="135" spans="1:14" x14ac:dyDescent="0.25">
      <c r="A135" s="38">
        <v>46254</v>
      </c>
      <c r="B135" s="39">
        <f t="shared" si="4"/>
        <v>46254</v>
      </c>
      <c r="C135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W19 (15/8 - 21/8)</v>
      </c>
      <c r="D135" s="40">
        <v>0</v>
      </c>
      <c r="E135" s="40">
        <v>0</v>
      </c>
      <c r="F135" s="40">
        <v>0</v>
      </c>
      <c r="G135" s="40">
        <v>0</v>
      </c>
      <c r="H135" s="40">
        <v>0</v>
      </c>
      <c r="I135" s="40">
        <v>0</v>
      </c>
      <c r="J135" s="40">
        <v>0</v>
      </c>
      <c r="K135" s="40">
        <v>0</v>
      </c>
      <c r="L135" s="40">
        <v>0</v>
      </c>
      <c r="M135" s="40">
        <v>0</v>
      </c>
      <c r="N135" s="40">
        <v>0</v>
      </c>
    </row>
    <row r="136" spans="1:14" x14ac:dyDescent="0.25">
      <c r="A136" s="38">
        <v>46255</v>
      </c>
      <c r="B136" s="39">
        <f t="shared" si="4"/>
        <v>46255</v>
      </c>
      <c r="C136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W19 (15/8 - 21/8)</v>
      </c>
      <c r="D136" s="40">
        <v>0</v>
      </c>
      <c r="E136" s="40">
        <v>0</v>
      </c>
      <c r="F136" s="40">
        <v>0</v>
      </c>
      <c r="G136" s="40">
        <v>0</v>
      </c>
      <c r="H136" s="40">
        <v>0</v>
      </c>
      <c r="I136" s="40">
        <v>0</v>
      </c>
      <c r="J136" s="40">
        <v>0</v>
      </c>
      <c r="K136" s="40">
        <v>0</v>
      </c>
      <c r="L136" s="40">
        <v>0</v>
      </c>
      <c r="M136" s="40">
        <v>0</v>
      </c>
      <c r="N136" s="40">
        <v>0</v>
      </c>
    </row>
    <row r="137" spans="1:14" x14ac:dyDescent="0.25">
      <c r="A137" s="38">
        <v>46256</v>
      </c>
      <c r="B137" s="39">
        <f t="shared" si="4"/>
        <v>46256</v>
      </c>
      <c r="C137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W20 (22/8 - 28/8)</v>
      </c>
      <c r="D137" s="40">
        <v>0</v>
      </c>
      <c r="E137" s="40">
        <v>0</v>
      </c>
      <c r="F137" s="40">
        <v>0</v>
      </c>
      <c r="G137" s="40">
        <v>0</v>
      </c>
      <c r="H137" s="40">
        <v>0</v>
      </c>
      <c r="I137" s="40">
        <v>0</v>
      </c>
      <c r="J137" s="40">
        <v>0</v>
      </c>
      <c r="K137" s="40">
        <v>0</v>
      </c>
      <c r="L137" s="40">
        <v>0</v>
      </c>
      <c r="M137" s="40">
        <v>0</v>
      </c>
      <c r="N137" s="40">
        <v>0</v>
      </c>
    </row>
    <row r="138" spans="1:14" x14ac:dyDescent="0.25">
      <c r="A138" s="38">
        <v>46257</v>
      </c>
      <c r="B138" s="39">
        <f t="shared" si="4"/>
        <v>46257</v>
      </c>
      <c r="C138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W20 (22/8 - 28/8)</v>
      </c>
      <c r="D138" s="40">
        <v>0</v>
      </c>
      <c r="E138" s="40">
        <v>0</v>
      </c>
      <c r="F138" s="40">
        <v>0</v>
      </c>
      <c r="G138" s="40">
        <v>0</v>
      </c>
      <c r="H138" s="40">
        <v>0</v>
      </c>
      <c r="I138" s="40">
        <v>0</v>
      </c>
      <c r="J138" s="40">
        <v>0</v>
      </c>
      <c r="K138" s="40">
        <v>0</v>
      </c>
      <c r="L138" s="40">
        <v>0</v>
      </c>
      <c r="M138" s="40">
        <v>0</v>
      </c>
      <c r="N138" s="40">
        <v>0</v>
      </c>
    </row>
    <row r="139" spans="1:14" x14ac:dyDescent="0.25">
      <c r="A139" s="38">
        <v>46258</v>
      </c>
      <c r="B139" s="39">
        <f t="shared" si="4"/>
        <v>46258</v>
      </c>
      <c r="C139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W20 (22/8 - 28/8)</v>
      </c>
      <c r="D139" s="40">
        <v>0</v>
      </c>
      <c r="E139" s="40">
        <v>0</v>
      </c>
      <c r="F139" s="40">
        <v>0</v>
      </c>
      <c r="G139" s="40">
        <v>0</v>
      </c>
      <c r="H139" s="40">
        <v>0</v>
      </c>
      <c r="I139" s="40">
        <v>0</v>
      </c>
      <c r="J139" s="40">
        <v>0</v>
      </c>
      <c r="K139" s="40">
        <v>0</v>
      </c>
      <c r="L139" s="40">
        <v>0</v>
      </c>
      <c r="M139" s="40">
        <v>0</v>
      </c>
      <c r="N139" s="40">
        <v>0</v>
      </c>
    </row>
    <row r="140" spans="1:14" x14ac:dyDescent="0.25">
      <c r="A140" s="38">
        <v>46259</v>
      </c>
      <c r="B140" s="42">
        <f t="shared" si="4"/>
        <v>46259</v>
      </c>
      <c r="C140" s="43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W20 (22/8 - 28/8)</v>
      </c>
      <c r="D140" s="40">
        <v>0</v>
      </c>
      <c r="E140" s="40">
        <v>0</v>
      </c>
      <c r="F140" s="40">
        <v>0</v>
      </c>
      <c r="G140" s="40">
        <v>0</v>
      </c>
      <c r="H140" s="40">
        <v>0</v>
      </c>
      <c r="I140" s="40">
        <v>0</v>
      </c>
      <c r="J140" s="40">
        <v>0</v>
      </c>
      <c r="K140" s="40">
        <v>0</v>
      </c>
      <c r="L140" s="40">
        <v>0</v>
      </c>
      <c r="M140" s="40">
        <v>0</v>
      </c>
      <c r="N140" s="40">
        <v>0</v>
      </c>
    </row>
    <row r="141" spans="1:14" x14ac:dyDescent="0.25">
      <c r="A141" s="38">
        <v>46260</v>
      </c>
      <c r="B141" s="39">
        <f t="shared" si="4"/>
        <v>46260</v>
      </c>
      <c r="C141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W20 (22/8 - 28/8)</v>
      </c>
      <c r="D141" s="40">
        <v>0</v>
      </c>
      <c r="E141" s="40">
        <v>0</v>
      </c>
      <c r="F141" s="40">
        <v>0</v>
      </c>
      <c r="G141" s="40">
        <v>0</v>
      </c>
      <c r="H141" s="40">
        <v>0</v>
      </c>
      <c r="I141" s="40">
        <v>0</v>
      </c>
      <c r="J141" s="40">
        <v>0</v>
      </c>
      <c r="K141" s="40">
        <v>0</v>
      </c>
      <c r="L141" s="40">
        <v>0</v>
      </c>
      <c r="M141" s="40">
        <v>0</v>
      </c>
      <c r="N141" s="40">
        <v>0</v>
      </c>
    </row>
    <row r="142" spans="1:14" x14ac:dyDescent="0.25">
      <c r="A142" s="38">
        <v>46261</v>
      </c>
      <c r="B142" s="39">
        <f t="shared" si="4"/>
        <v>46261</v>
      </c>
      <c r="C142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W20 (22/8 - 28/8)</v>
      </c>
      <c r="D142" s="40">
        <v>0</v>
      </c>
      <c r="E142" s="40">
        <v>0</v>
      </c>
      <c r="F142" s="40">
        <v>0</v>
      </c>
      <c r="G142" s="40">
        <v>0</v>
      </c>
      <c r="H142" s="40">
        <v>0</v>
      </c>
      <c r="I142" s="40">
        <v>0</v>
      </c>
      <c r="J142" s="40">
        <v>0</v>
      </c>
      <c r="K142" s="40">
        <v>0</v>
      </c>
      <c r="L142" s="40">
        <v>0</v>
      </c>
      <c r="M142" s="40">
        <v>0</v>
      </c>
      <c r="N142" s="40">
        <v>0</v>
      </c>
    </row>
    <row r="143" spans="1:14" x14ac:dyDescent="0.25">
      <c r="A143" s="38">
        <v>46262</v>
      </c>
      <c r="B143" s="39">
        <f t="shared" si="4"/>
        <v>46262</v>
      </c>
      <c r="C143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W20 (22/8 - 28/8)</v>
      </c>
      <c r="D143" s="40">
        <v>0</v>
      </c>
      <c r="E143" s="40">
        <v>0</v>
      </c>
      <c r="F143" s="40">
        <v>0</v>
      </c>
      <c r="G143" s="40">
        <v>0</v>
      </c>
      <c r="H143" s="40">
        <v>0</v>
      </c>
      <c r="I143" s="40">
        <v>0</v>
      </c>
      <c r="J143" s="40">
        <v>0</v>
      </c>
      <c r="K143" s="40">
        <v>0</v>
      </c>
      <c r="L143" s="40">
        <v>0</v>
      </c>
      <c r="M143" s="40">
        <v>0</v>
      </c>
      <c r="N143" s="40">
        <v>0</v>
      </c>
    </row>
    <row r="144" spans="1:14" x14ac:dyDescent="0.25">
      <c r="A144" s="38">
        <v>46263</v>
      </c>
      <c r="B144" s="39">
        <f t="shared" si="4"/>
        <v>46263</v>
      </c>
      <c r="C144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W21 (29/8 - 4/9)</v>
      </c>
      <c r="D144" s="40">
        <v>0</v>
      </c>
      <c r="E144" s="40">
        <v>0</v>
      </c>
      <c r="F144" s="40">
        <v>0</v>
      </c>
      <c r="G144" s="40">
        <v>0</v>
      </c>
      <c r="H144" s="40">
        <v>0</v>
      </c>
      <c r="I144" s="40">
        <v>0</v>
      </c>
      <c r="J144" s="40">
        <v>0</v>
      </c>
      <c r="K144" s="40">
        <v>0</v>
      </c>
      <c r="L144" s="40">
        <v>0</v>
      </c>
      <c r="M144" s="40">
        <v>0</v>
      </c>
      <c r="N144" s="40">
        <v>0</v>
      </c>
    </row>
    <row r="145" spans="1:14" x14ac:dyDescent="0.25">
      <c r="A145" s="38">
        <v>46264</v>
      </c>
      <c r="B145" s="42">
        <f t="shared" si="4"/>
        <v>46264</v>
      </c>
      <c r="C145" s="43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W21 (29/8 - 4/9)</v>
      </c>
      <c r="D145" s="40">
        <v>0</v>
      </c>
      <c r="E145" s="40">
        <v>0</v>
      </c>
      <c r="F145" s="40">
        <v>0</v>
      </c>
      <c r="G145" s="40">
        <v>0</v>
      </c>
      <c r="H145" s="40">
        <v>0</v>
      </c>
      <c r="I145" s="40">
        <v>0</v>
      </c>
      <c r="J145" s="40">
        <v>0</v>
      </c>
      <c r="K145" s="40">
        <v>0</v>
      </c>
      <c r="L145" s="40">
        <v>0</v>
      </c>
      <c r="M145" s="40">
        <v>0</v>
      </c>
      <c r="N145" s="40">
        <v>0</v>
      </c>
    </row>
    <row r="146" spans="1:14" x14ac:dyDescent="0.25">
      <c r="A146" s="38">
        <v>46265</v>
      </c>
      <c r="B146" s="39">
        <f t="shared" si="4"/>
        <v>46265</v>
      </c>
      <c r="C146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W21 (29/8 - 4/9)</v>
      </c>
      <c r="D146" s="40">
        <v>0</v>
      </c>
      <c r="E146" s="40">
        <v>0</v>
      </c>
      <c r="F146" s="40">
        <v>0</v>
      </c>
      <c r="G146" s="40">
        <v>0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40">
        <v>0</v>
      </c>
      <c r="N146" s="40">
        <v>0</v>
      </c>
    </row>
    <row r="147" spans="1:14" x14ac:dyDescent="0.25">
      <c r="A147" s="38">
        <v>46266</v>
      </c>
      <c r="B147" s="39">
        <f t="shared" si="4"/>
        <v>46266</v>
      </c>
      <c r="C147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W21 (29/8 - 4/9)</v>
      </c>
      <c r="D147" s="40">
        <v>0</v>
      </c>
      <c r="E147" s="40">
        <v>0</v>
      </c>
      <c r="F147" s="40">
        <v>0</v>
      </c>
      <c r="G147" s="40">
        <v>0</v>
      </c>
      <c r="H147" s="40">
        <v>0</v>
      </c>
      <c r="I147" s="40">
        <v>0</v>
      </c>
      <c r="J147" s="40">
        <v>0</v>
      </c>
      <c r="K147" s="40">
        <v>0</v>
      </c>
      <c r="L147" s="40">
        <v>0</v>
      </c>
      <c r="M147" s="40">
        <v>0</v>
      </c>
      <c r="N147" s="40">
        <v>0</v>
      </c>
    </row>
    <row r="148" spans="1:14" x14ac:dyDescent="0.25">
      <c r="A148" s="38">
        <v>46267</v>
      </c>
      <c r="B148" s="39">
        <f t="shared" si="4"/>
        <v>46267</v>
      </c>
      <c r="C148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W21 (29/8 - 4/9)</v>
      </c>
      <c r="D148" s="40">
        <v>0</v>
      </c>
      <c r="E148" s="40">
        <v>0</v>
      </c>
      <c r="F148" s="40">
        <v>0</v>
      </c>
      <c r="G148" s="40">
        <v>0</v>
      </c>
      <c r="H148" s="40">
        <v>0</v>
      </c>
      <c r="I148" s="40">
        <v>0</v>
      </c>
      <c r="J148" s="40">
        <v>0</v>
      </c>
      <c r="K148" s="40">
        <v>0</v>
      </c>
      <c r="L148" s="40">
        <v>0</v>
      </c>
      <c r="M148" s="40">
        <v>0</v>
      </c>
      <c r="N148" s="40">
        <v>0</v>
      </c>
    </row>
    <row r="149" spans="1:14" x14ac:dyDescent="0.25">
      <c r="A149" s="38">
        <v>46268</v>
      </c>
      <c r="B149" s="39">
        <f t="shared" si="4"/>
        <v>46268</v>
      </c>
      <c r="C149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W21 (29/8 - 4/9)</v>
      </c>
      <c r="D149" s="40">
        <v>0</v>
      </c>
      <c r="E149" s="40">
        <v>0</v>
      </c>
      <c r="F149" s="40">
        <v>0</v>
      </c>
      <c r="G149" s="40">
        <v>0</v>
      </c>
      <c r="H149" s="40">
        <v>0</v>
      </c>
      <c r="I149" s="40">
        <v>0</v>
      </c>
      <c r="J149" s="40">
        <v>0</v>
      </c>
      <c r="K149" s="40">
        <v>0</v>
      </c>
      <c r="L149" s="40">
        <v>0</v>
      </c>
      <c r="M149" s="40">
        <v>0</v>
      </c>
      <c r="N149" s="40">
        <v>0</v>
      </c>
    </row>
    <row r="150" spans="1:14" x14ac:dyDescent="0.25">
      <c r="A150" s="38">
        <v>46269</v>
      </c>
      <c r="B150" s="39">
        <f t="shared" si="4"/>
        <v>46269</v>
      </c>
      <c r="C150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W21 (29/8 - 4/9)</v>
      </c>
      <c r="D150" s="40">
        <v>0</v>
      </c>
      <c r="E150" s="40">
        <v>0</v>
      </c>
      <c r="F150" s="40">
        <v>0</v>
      </c>
      <c r="G150" s="40">
        <v>0</v>
      </c>
      <c r="H150" s="40">
        <v>0</v>
      </c>
      <c r="I150" s="40">
        <v>0</v>
      </c>
      <c r="J150" s="40">
        <v>0</v>
      </c>
      <c r="K150" s="40">
        <v>0</v>
      </c>
      <c r="L150" s="40">
        <v>0</v>
      </c>
      <c r="M150" s="40">
        <v>0</v>
      </c>
      <c r="N150" s="40">
        <v>0</v>
      </c>
    </row>
    <row r="151" spans="1:14" x14ac:dyDescent="0.25">
      <c r="A151" s="38">
        <v>46270</v>
      </c>
      <c r="B151" s="39">
        <f t="shared" si="4"/>
        <v>46270</v>
      </c>
      <c r="C151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W22 (5/9 - 11/9)</v>
      </c>
      <c r="D151" s="40">
        <v>0</v>
      </c>
      <c r="E151" s="40">
        <v>0</v>
      </c>
      <c r="F151" s="40">
        <v>0</v>
      </c>
      <c r="G151" s="40">
        <v>0</v>
      </c>
      <c r="H151" s="40">
        <v>0</v>
      </c>
      <c r="I151" s="40">
        <v>0</v>
      </c>
      <c r="J151" s="40">
        <v>0</v>
      </c>
      <c r="K151" s="40">
        <v>0</v>
      </c>
      <c r="L151" s="40">
        <v>0</v>
      </c>
      <c r="M151" s="40">
        <v>0</v>
      </c>
      <c r="N151" s="40">
        <v>0</v>
      </c>
    </row>
    <row r="152" spans="1:14" x14ac:dyDescent="0.25">
      <c r="A152" s="38">
        <v>46271</v>
      </c>
      <c r="B152" s="39">
        <f t="shared" si="4"/>
        <v>46271</v>
      </c>
      <c r="C152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W22 (5/9 - 11/9)</v>
      </c>
      <c r="D152" s="40">
        <v>0</v>
      </c>
      <c r="E152" s="40">
        <v>0</v>
      </c>
      <c r="F152" s="40">
        <v>0</v>
      </c>
      <c r="G152" s="40">
        <v>0</v>
      </c>
      <c r="H152" s="40">
        <v>0</v>
      </c>
      <c r="I152" s="40">
        <v>0</v>
      </c>
      <c r="J152" s="40">
        <v>0</v>
      </c>
      <c r="K152" s="40">
        <v>0</v>
      </c>
      <c r="L152" s="40">
        <v>0</v>
      </c>
      <c r="M152" s="40">
        <v>0</v>
      </c>
      <c r="N152" s="40">
        <v>0</v>
      </c>
    </row>
    <row r="153" spans="1:14" x14ac:dyDescent="0.25">
      <c r="A153" s="38">
        <v>46272</v>
      </c>
      <c r="B153" s="39">
        <f t="shared" si="4"/>
        <v>46272</v>
      </c>
      <c r="C153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W22 (5/9 - 11/9)</v>
      </c>
      <c r="D153" s="40">
        <v>0</v>
      </c>
      <c r="E153" s="40">
        <v>0</v>
      </c>
      <c r="F153" s="40">
        <v>0</v>
      </c>
      <c r="G153" s="40">
        <v>0</v>
      </c>
      <c r="H153" s="40">
        <v>0</v>
      </c>
      <c r="I153" s="40">
        <v>0</v>
      </c>
      <c r="J153" s="40">
        <v>0</v>
      </c>
      <c r="K153" s="40">
        <v>0</v>
      </c>
      <c r="L153" s="40">
        <v>0</v>
      </c>
      <c r="M153" s="40">
        <v>0</v>
      </c>
      <c r="N153" s="40">
        <v>0</v>
      </c>
    </row>
    <row r="154" spans="1:14" x14ac:dyDescent="0.25">
      <c r="A154" s="38">
        <v>46273</v>
      </c>
      <c r="B154" s="39">
        <f t="shared" si="4"/>
        <v>46273</v>
      </c>
      <c r="C154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W22 (5/9 - 11/9)</v>
      </c>
      <c r="D154" s="40">
        <v>0</v>
      </c>
      <c r="E154" s="40">
        <v>0</v>
      </c>
      <c r="F154" s="40">
        <v>0</v>
      </c>
      <c r="G154" s="40">
        <v>0</v>
      </c>
      <c r="H154" s="40">
        <v>0</v>
      </c>
      <c r="I154" s="40">
        <v>0</v>
      </c>
      <c r="J154" s="40">
        <v>0</v>
      </c>
      <c r="K154" s="40">
        <v>0</v>
      </c>
      <c r="L154" s="40">
        <v>0</v>
      </c>
      <c r="M154" s="40">
        <v>0</v>
      </c>
      <c r="N154" s="40">
        <v>0</v>
      </c>
    </row>
    <row r="155" spans="1:14" x14ac:dyDescent="0.25">
      <c r="A155" s="38">
        <v>46274</v>
      </c>
      <c r="B155" s="39">
        <f t="shared" si="4"/>
        <v>46274</v>
      </c>
      <c r="C155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W22 (5/9 - 11/9)</v>
      </c>
      <c r="D155" s="40">
        <v>0</v>
      </c>
      <c r="E155" s="40">
        <v>0</v>
      </c>
      <c r="F155" s="40">
        <v>0</v>
      </c>
      <c r="G155" s="40">
        <v>0</v>
      </c>
      <c r="H155" s="40">
        <v>0</v>
      </c>
      <c r="I155" s="40">
        <v>0</v>
      </c>
      <c r="J155" s="40">
        <v>0</v>
      </c>
      <c r="K155" s="40">
        <v>0</v>
      </c>
      <c r="L155" s="40">
        <v>0</v>
      </c>
      <c r="M155" s="40">
        <v>0</v>
      </c>
      <c r="N155" s="40">
        <v>0</v>
      </c>
    </row>
    <row r="156" spans="1:14" x14ac:dyDescent="0.25">
      <c r="A156" s="38">
        <v>46275</v>
      </c>
      <c r="B156" s="39">
        <f t="shared" si="4"/>
        <v>46275</v>
      </c>
      <c r="C156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W22 (5/9 - 11/9)</v>
      </c>
      <c r="D156" s="40">
        <v>0</v>
      </c>
      <c r="E156" s="40">
        <v>0</v>
      </c>
      <c r="F156" s="40">
        <v>0</v>
      </c>
      <c r="G156" s="40">
        <v>0</v>
      </c>
      <c r="H156" s="40">
        <v>0</v>
      </c>
      <c r="I156" s="40">
        <v>0</v>
      </c>
      <c r="J156" s="40">
        <v>0</v>
      </c>
      <c r="K156" s="40">
        <v>0</v>
      </c>
      <c r="L156" s="40">
        <v>0</v>
      </c>
      <c r="M156" s="40">
        <v>0</v>
      </c>
      <c r="N156" s="40">
        <v>0</v>
      </c>
    </row>
    <row r="157" spans="1:14" x14ac:dyDescent="0.25">
      <c r="A157" s="38">
        <v>46276</v>
      </c>
      <c r="B157" s="39">
        <f t="shared" si="4"/>
        <v>46276</v>
      </c>
      <c r="C157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W22 (5/9 - 11/9)</v>
      </c>
      <c r="D157" s="40">
        <v>0</v>
      </c>
      <c r="E157" s="40">
        <v>0</v>
      </c>
      <c r="F157" s="40">
        <v>0</v>
      </c>
      <c r="G157" s="40">
        <v>0</v>
      </c>
      <c r="H157" s="40">
        <v>0</v>
      </c>
      <c r="I157" s="40">
        <v>0</v>
      </c>
      <c r="J157" s="40">
        <v>0</v>
      </c>
      <c r="K157" s="40">
        <v>0</v>
      </c>
      <c r="L157" s="40">
        <v>0</v>
      </c>
      <c r="M157" s="40">
        <v>0</v>
      </c>
      <c r="N157" s="40">
        <v>0</v>
      </c>
    </row>
    <row r="158" spans="1:14" x14ac:dyDescent="0.25">
      <c r="A158" s="38">
        <v>46277</v>
      </c>
      <c r="B158" s="39">
        <f t="shared" si="4"/>
        <v>46277</v>
      </c>
      <c r="C158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W23 (12/9 - 18/9)</v>
      </c>
      <c r="D158" s="40">
        <v>0</v>
      </c>
      <c r="E158" s="40">
        <v>0</v>
      </c>
      <c r="F158" s="40">
        <v>0</v>
      </c>
      <c r="G158" s="40">
        <v>0</v>
      </c>
      <c r="H158" s="40">
        <v>0</v>
      </c>
      <c r="I158" s="40">
        <v>0</v>
      </c>
      <c r="J158" s="40">
        <v>0</v>
      </c>
      <c r="K158" s="40">
        <v>0</v>
      </c>
      <c r="L158" s="40">
        <v>0</v>
      </c>
      <c r="M158" s="40">
        <v>0</v>
      </c>
      <c r="N158" s="40">
        <v>0</v>
      </c>
    </row>
    <row r="159" spans="1:14" x14ac:dyDescent="0.25">
      <c r="A159" s="38">
        <v>46278</v>
      </c>
      <c r="B159" s="39">
        <f t="shared" si="4"/>
        <v>46278</v>
      </c>
      <c r="C159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W23 (12/9 - 18/9)</v>
      </c>
      <c r="D159" s="40">
        <v>0</v>
      </c>
      <c r="E159" s="40">
        <v>0</v>
      </c>
      <c r="F159" s="40">
        <v>0</v>
      </c>
      <c r="G159" s="40">
        <v>0</v>
      </c>
      <c r="H159" s="40">
        <v>0</v>
      </c>
      <c r="I159" s="40">
        <v>0</v>
      </c>
      <c r="J159" s="40">
        <v>0</v>
      </c>
      <c r="K159" s="40">
        <v>0</v>
      </c>
      <c r="L159" s="40">
        <v>0</v>
      </c>
      <c r="M159" s="40">
        <v>0</v>
      </c>
      <c r="N159" s="40">
        <v>0</v>
      </c>
    </row>
    <row r="160" spans="1:14" x14ac:dyDescent="0.25">
      <c r="A160" s="38">
        <v>46279</v>
      </c>
      <c r="B160" s="39">
        <f t="shared" si="4"/>
        <v>46279</v>
      </c>
      <c r="C160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W23 (12/9 - 18/9)</v>
      </c>
      <c r="D160" s="40">
        <v>0</v>
      </c>
      <c r="E160" s="40">
        <v>0</v>
      </c>
      <c r="F160" s="40">
        <v>0</v>
      </c>
      <c r="G160" s="40">
        <v>0</v>
      </c>
      <c r="H160" s="40">
        <v>0</v>
      </c>
      <c r="I160" s="40">
        <v>0</v>
      </c>
      <c r="J160" s="40">
        <v>0</v>
      </c>
      <c r="K160" s="40">
        <v>0</v>
      </c>
      <c r="L160" s="40">
        <v>0</v>
      </c>
      <c r="M160" s="40">
        <v>0</v>
      </c>
      <c r="N160" s="40">
        <v>0</v>
      </c>
    </row>
    <row r="161" spans="1:14" x14ac:dyDescent="0.25">
      <c r="A161" s="38">
        <v>46280</v>
      </c>
      <c r="B161" s="39">
        <f t="shared" si="4"/>
        <v>46280</v>
      </c>
      <c r="C161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W23 (12/9 - 18/9)</v>
      </c>
      <c r="D161" s="40">
        <v>0</v>
      </c>
      <c r="E161" s="40">
        <v>0</v>
      </c>
      <c r="F161" s="40">
        <v>0</v>
      </c>
      <c r="G161" s="40">
        <v>0</v>
      </c>
      <c r="H161" s="40">
        <v>0</v>
      </c>
      <c r="I161" s="40">
        <v>0</v>
      </c>
      <c r="J161" s="40">
        <v>0</v>
      </c>
      <c r="K161" s="40">
        <v>0</v>
      </c>
      <c r="L161" s="40">
        <v>0</v>
      </c>
      <c r="M161" s="40">
        <v>0</v>
      </c>
      <c r="N161" s="40">
        <v>0</v>
      </c>
    </row>
    <row r="162" spans="1:14" x14ac:dyDescent="0.25">
      <c r="A162" s="38">
        <v>46281</v>
      </c>
      <c r="B162" s="39">
        <f t="shared" si="4"/>
        <v>46281</v>
      </c>
      <c r="C162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W23 (12/9 - 18/9)</v>
      </c>
      <c r="D162" s="40">
        <v>0</v>
      </c>
      <c r="E162" s="40">
        <v>0</v>
      </c>
      <c r="F162" s="40">
        <v>0</v>
      </c>
      <c r="G162" s="40">
        <v>0</v>
      </c>
      <c r="H162" s="40">
        <v>0</v>
      </c>
      <c r="I162" s="40">
        <v>0</v>
      </c>
      <c r="J162" s="40">
        <v>0</v>
      </c>
      <c r="K162" s="40">
        <v>0</v>
      </c>
      <c r="L162" s="40">
        <v>0</v>
      </c>
      <c r="M162" s="40">
        <v>0</v>
      </c>
      <c r="N162" s="40">
        <v>0</v>
      </c>
    </row>
    <row r="163" spans="1:14" x14ac:dyDescent="0.25">
      <c r="A163" s="38">
        <v>46282</v>
      </c>
      <c r="B163" s="39">
        <f t="shared" si="4"/>
        <v>46282</v>
      </c>
      <c r="C163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W23 (12/9 - 18/9)</v>
      </c>
      <c r="D163" s="40">
        <v>0</v>
      </c>
      <c r="E163" s="40">
        <v>0</v>
      </c>
      <c r="F163" s="40">
        <v>0</v>
      </c>
      <c r="G163" s="40">
        <v>0</v>
      </c>
      <c r="H163" s="40">
        <v>0</v>
      </c>
      <c r="I163" s="40">
        <v>0</v>
      </c>
      <c r="J163" s="40">
        <v>0</v>
      </c>
      <c r="K163" s="40">
        <v>0</v>
      </c>
      <c r="L163" s="40">
        <v>0</v>
      </c>
      <c r="M163" s="40">
        <v>0</v>
      </c>
      <c r="N163" s="40">
        <v>0</v>
      </c>
    </row>
    <row r="164" spans="1:14" x14ac:dyDescent="0.25">
      <c r="A164" s="38">
        <v>46283</v>
      </c>
      <c r="B164" s="39">
        <f t="shared" si="4"/>
        <v>46283</v>
      </c>
      <c r="C164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W23 (12/9 - 18/9)</v>
      </c>
      <c r="D164" s="40">
        <v>0</v>
      </c>
      <c r="E164" s="40">
        <v>0</v>
      </c>
      <c r="F164" s="40">
        <v>0</v>
      </c>
      <c r="G164" s="40">
        <v>0</v>
      </c>
      <c r="H164" s="40">
        <v>0</v>
      </c>
      <c r="I164" s="40">
        <v>0</v>
      </c>
      <c r="J164" s="40">
        <v>0</v>
      </c>
      <c r="K164" s="40">
        <v>0</v>
      </c>
      <c r="L164" s="40">
        <v>0</v>
      </c>
      <c r="M164" s="40">
        <v>0</v>
      </c>
      <c r="N164" s="40">
        <v>0</v>
      </c>
    </row>
    <row r="165" spans="1:14" x14ac:dyDescent="0.25">
      <c r="A165" s="38">
        <v>46284</v>
      </c>
      <c r="B165" s="39">
        <f t="shared" si="4"/>
        <v>46284</v>
      </c>
      <c r="C165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W24 (19/9 - 25/9)</v>
      </c>
      <c r="D165" s="40">
        <v>0</v>
      </c>
      <c r="E165" s="40">
        <v>0</v>
      </c>
      <c r="F165" s="40">
        <v>0</v>
      </c>
      <c r="G165" s="40">
        <v>0</v>
      </c>
      <c r="H165" s="40">
        <v>0</v>
      </c>
      <c r="I165" s="40">
        <v>0</v>
      </c>
      <c r="J165" s="40">
        <v>0</v>
      </c>
      <c r="K165" s="40">
        <v>0</v>
      </c>
      <c r="L165" s="40">
        <v>0</v>
      </c>
      <c r="M165" s="40">
        <v>0</v>
      </c>
      <c r="N165" s="40">
        <v>0</v>
      </c>
    </row>
    <row r="166" spans="1:14" x14ac:dyDescent="0.25">
      <c r="A166" s="38">
        <v>46285</v>
      </c>
      <c r="B166" s="39">
        <f t="shared" ref="B166:B197" si="5">A166</f>
        <v>46285</v>
      </c>
      <c r="C166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W24 (19/9 - 25/9)</v>
      </c>
      <c r="D166" s="40">
        <v>0</v>
      </c>
      <c r="E166" s="40">
        <v>0</v>
      </c>
      <c r="F166" s="40">
        <v>0</v>
      </c>
      <c r="G166" s="40">
        <v>0</v>
      </c>
      <c r="H166" s="40">
        <v>0</v>
      </c>
      <c r="I166" s="40">
        <v>0</v>
      </c>
      <c r="J166" s="40">
        <v>0</v>
      </c>
      <c r="K166" s="40">
        <v>0</v>
      </c>
      <c r="L166" s="40">
        <v>0</v>
      </c>
      <c r="M166" s="40">
        <v>0</v>
      </c>
      <c r="N166" s="40">
        <v>0</v>
      </c>
    </row>
    <row r="167" spans="1:14" x14ac:dyDescent="0.25">
      <c r="A167" s="38">
        <v>46286</v>
      </c>
      <c r="B167" s="39">
        <f t="shared" si="5"/>
        <v>46286</v>
      </c>
      <c r="C167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W24 (19/9 - 25/9)</v>
      </c>
      <c r="D167" s="40">
        <v>0</v>
      </c>
      <c r="E167" s="40">
        <v>0</v>
      </c>
      <c r="F167" s="40">
        <v>0</v>
      </c>
      <c r="G167" s="40">
        <v>0</v>
      </c>
      <c r="H167" s="40">
        <v>0</v>
      </c>
      <c r="I167" s="40">
        <v>0</v>
      </c>
      <c r="J167" s="40">
        <v>0</v>
      </c>
      <c r="K167" s="40">
        <v>0</v>
      </c>
      <c r="L167" s="40">
        <v>0</v>
      </c>
      <c r="M167" s="40">
        <v>0</v>
      </c>
      <c r="N167" s="40">
        <v>0</v>
      </c>
    </row>
    <row r="168" spans="1:14" x14ac:dyDescent="0.25">
      <c r="A168" s="38">
        <v>46287</v>
      </c>
      <c r="B168" s="39">
        <f t="shared" si="5"/>
        <v>46287</v>
      </c>
      <c r="C168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W24 (19/9 - 25/9)</v>
      </c>
      <c r="D168" s="40">
        <v>0</v>
      </c>
      <c r="E168" s="40">
        <v>0</v>
      </c>
      <c r="F168" s="40">
        <v>0</v>
      </c>
      <c r="G168" s="40">
        <v>0</v>
      </c>
      <c r="H168" s="40">
        <v>0</v>
      </c>
      <c r="I168" s="40">
        <v>0</v>
      </c>
      <c r="J168" s="40">
        <v>0</v>
      </c>
      <c r="K168" s="40">
        <v>0</v>
      </c>
      <c r="L168" s="40">
        <v>0</v>
      </c>
      <c r="M168" s="40">
        <v>0</v>
      </c>
      <c r="N168" s="40">
        <v>0</v>
      </c>
    </row>
    <row r="169" spans="1:14" x14ac:dyDescent="0.25">
      <c r="A169" s="38">
        <v>46288</v>
      </c>
      <c r="B169" s="39">
        <f t="shared" si="5"/>
        <v>46288</v>
      </c>
      <c r="C169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W24 (19/9 - 25/9)</v>
      </c>
      <c r="D169" s="40">
        <v>0</v>
      </c>
      <c r="E169" s="40">
        <v>0</v>
      </c>
      <c r="F169" s="40">
        <v>0</v>
      </c>
      <c r="G169" s="40">
        <v>0</v>
      </c>
      <c r="H169" s="40">
        <v>0</v>
      </c>
      <c r="I169" s="40">
        <v>0</v>
      </c>
      <c r="J169" s="40">
        <v>0</v>
      </c>
      <c r="K169" s="40">
        <v>0</v>
      </c>
      <c r="L169" s="40">
        <v>0</v>
      </c>
      <c r="M169" s="40">
        <v>0</v>
      </c>
      <c r="N169" s="40">
        <v>0</v>
      </c>
    </row>
    <row r="170" spans="1:14" x14ac:dyDescent="0.25">
      <c r="A170" s="38">
        <v>46289</v>
      </c>
      <c r="B170" s="39">
        <f t="shared" si="5"/>
        <v>46289</v>
      </c>
      <c r="C170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W24 (19/9 - 25/9)</v>
      </c>
      <c r="D170" s="40">
        <v>0</v>
      </c>
      <c r="E170" s="40">
        <v>0</v>
      </c>
      <c r="F170" s="40">
        <v>0</v>
      </c>
      <c r="G170" s="40">
        <v>0</v>
      </c>
      <c r="H170" s="40">
        <v>0</v>
      </c>
      <c r="I170" s="40">
        <v>0</v>
      </c>
      <c r="J170" s="40">
        <v>0</v>
      </c>
      <c r="K170" s="40">
        <v>0</v>
      </c>
      <c r="L170" s="40">
        <v>0</v>
      </c>
      <c r="M170" s="40">
        <v>0</v>
      </c>
      <c r="N170" s="40">
        <v>0</v>
      </c>
    </row>
    <row r="171" spans="1:14" x14ac:dyDescent="0.25">
      <c r="A171" s="38">
        <v>46290</v>
      </c>
      <c r="B171" s="39">
        <f t="shared" si="5"/>
        <v>46290</v>
      </c>
      <c r="C171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W24 (19/9 - 25/9)</v>
      </c>
      <c r="D171" s="40">
        <v>0</v>
      </c>
      <c r="E171" s="40">
        <v>0</v>
      </c>
      <c r="F171" s="40">
        <v>0</v>
      </c>
      <c r="G171" s="40">
        <v>0</v>
      </c>
      <c r="H171" s="40">
        <v>0</v>
      </c>
      <c r="I171" s="40">
        <v>0</v>
      </c>
      <c r="J171" s="40">
        <v>0</v>
      </c>
      <c r="K171" s="40">
        <v>0</v>
      </c>
      <c r="L171" s="40">
        <v>0</v>
      </c>
      <c r="M171" s="40">
        <v>0</v>
      </c>
      <c r="N171" s="40">
        <v>0</v>
      </c>
    </row>
    <row r="172" spans="1:14" x14ac:dyDescent="0.25">
      <c r="A172" s="38">
        <v>46291</v>
      </c>
      <c r="B172" s="39">
        <f t="shared" si="5"/>
        <v>46291</v>
      </c>
      <c r="C172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W25 (26/9 - 2/10)</v>
      </c>
      <c r="D172" s="40">
        <v>0</v>
      </c>
      <c r="E172" s="40">
        <v>0</v>
      </c>
      <c r="F172" s="40">
        <v>0</v>
      </c>
      <c r="G172" s="40">
        <v>0</v>
      </c>
      <c r="H172" s="40">
        <v>0</v>
      </c>
      <c r="I172" s="40">
        <v>0</v>
      </c>
      <c r="J172" s="40">
        <v>0</v>
      </c>
      <c r="K172" s="40">
        <v>0</v>
      </c>
      <c r="L172" s="40">
        <v>0</v>
      </c>
      <c r="M172" s="40">
        <v>0</v>
      </c>
      <c r="N172" s="40">
        <v>0</v>
      </c>
    </row>
    <row r="173" spans="1:14" x14ac:dyDescent="0.25">
      <c r="A173" s="38">
        <v>46292</v>
      </c>
      <c r="B173" s="39">
        <f t="shared" si="5"/>
        <v>46292</v>
      </c>
      <c r="C173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W25 (26/9 - 2/10)</v>
      </c>
      <c r="D173" s="40">
        <v>0</v>
      </c>
      <c r="E173" s="40">
        <v>0</v>
      </c>
      <c r="F173" s="40">
        <v>0</v>
      </c>
      <c r="G173" s="40">
        <v>0</v>
      </c>
      <c r="H173" s="40">
        <v>0</v>
      </c>
      <c r="I173" s="40">
        <v>0</v>
      </c>
      <c r="J173" s="40">
        <v>0</v>
      </c>
      <c r="K173" s="40">
        <v>0</v>
      </c>
      <c r="L173" s="40">
        <v>0</v>
      </c>
      <c r="M173" s="40">
        <v>0</v>
      </c>
      <c r="N173" s="40">
        <v>0</v>
      </c>
    </row>
    <row r="174" spans="1:14" x14ac:dyDescent="0.25">
      <c r="A174" s="38">
        <v>46293</v>
      </c>
      <c r="B174" s="39">
        <f t="shared" si="5"/>
        <v>46293</v>
      </c>
      <c r="C174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W25 (26/9 - 2/10)</v>
      </c>
      <c r="D174" s="40">
        <v>0</v>
      </c>
      <c r="E174" s="40">
        <v>0</v>
      </c>
      <c r="F174" s="40">
        <v>0</v>
      </c>
      <c r="G174" s="40">
        <v>0</v>
      </c>
      <c r="H174" s="40">
        <v>0</v>
      </c>
      <c r="I174" s="40">
        <v>0</v>
      </c>
      <c r="J174" s="40">
        <v>0</v>
      </c>
      <c r="K174" s="40">
        <v>0</v>
      </c>
      <c r="L174" s="40">
        <v>0</v>
      </c>
      <c r="M174" s="40">
        <v>0</v>
      </c>
      <c r="N174" s="40">
        <v>0</v>
      </c>
    </row>
    <row r="175" spans="1:14" x14ac:dyDescent="0.25">
      <c r="A175" s="38">
        <v>46294</v>
      </c>
      <c r="B175" s="39">
        <f t="shared" si="5"/>
        <v>46294</v>
      </c>
      <c r="C175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W25 (26/9 - 2/10)</v>
      </c>
      <c r="D175" s="40">
        <v>0</v>
      </c>
      <c r="E175" s="40">
        <v>0</v>
      </c>
      <c r="F175" s="40">
        <v>0</v>
      </c>
      <c r="G175" s="40">
        <v>0</v>
      </c>
      <c r="H175" s="40">
        <v>0</v>
      </c>
      <c r="I175" s="40">
        <v>0</v>
      </c>
      <c r="J175" s="40">
        <v>0</v>
      </c>
      <c r="K175" s="40">
        <v>0</v>
      </c>
      <c r="L175" s="40">
        <v>0</v>
      </c>
      <c r="M175" s="40">
        <v>0</v>
      </c>
      <c r="N175" s="40">
        <v>0</v>
      </c>
    </row>
    <row r="176" spans="1:14" x14ac:dyDescent="0.25">
      <c r="A176" s="38">
        <v>46295</v>
      </c>
      <c r="B176" s="39">
        <f t="shared" si="5"/>
        <v>46295</v>
      </c>
      <c r="C176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W25 (26/9 - 2/10)</v>
      </c>
      <c r="D176" s="40">
        <v>0</v>
      </c>
      <c r="E176" s="40">
        <v>0</v>
      </c>
      <c r="F176" s="40">
        <v>0</v>
      </c>
      <c r="G176" s="40">
        <v>0</v>
      </c>
      <c r="H176" s="40">
        <v>0</v>
      </c>
      <c r="I176" s="40">
        <v>0</v>
      </c>
      <c r="J176" s="40">
        <v>0</v>
      </c>
      <c r="K176" s="40">
        <v>0</v>
      </c>
      <c r="L176" s="40">
        <v>0</v>
      </c>
      <c r="M176" s="40">
        <v>0</v>
      </c>
      <c r="N176" s="40">
        <v>0</v>
      </c>
    </row>
    <row r="177" spans="1:14" x14ac:dyDescent="0.25">
      <c r="A177" s="38">
        <v>46296</v>
      </c>
      <c r="B177" s="39">
        <f t="shared" si="5"/>
        <v>46296</v>
      </c>
      <c r="C177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W25 (26/9 - 2/10)</v>
      </c>
      <c r="D177" s="40">
        <v>0</v>
      </c>
      <c r="E177" s="40">
        <v>0</v>
      </c>
      <c r="F177" s="40">
        <v>0</v>
      </c>
      <c r="G177" s="40">
        <v>0</v>
      </c>
      <c r="H177" s="40">
        <v>0</v>
      </c>
      <c r="I177" s="40">
        <v>0</v>
      </c>
      <c r="J177" s="40">
        <v>0</v>
      </c>
      <c r="K177" s="40">
        <v>0</v>
      </c>
      <c r="L177" s="40">
        <v>0</v>
      </c>
      <c r="M177" s="40">
        <v>0</v>
      </c>
      <c r="N177" s="40">
        <v>0</v>
      </c>
    </row>
    <row r="178" spans="1:14" x14ac:dyDescent="0.25">
      <c r="A178" s="38">
        <v>46297</v>
      </c>
      <c r="B178" s="39">
        <f t="shared" si="5"/>
        <v>46297</v>
      </c>
      <c r="C178" s="40" t="str">
        <f>IF(Lagging[[#This Row],[DATE]]&lt;DATE(2026,4,11),"0",_xlfn.LET(
_xlpm.W,INT((Lagging[[#This Row],[DATE]]-DATE(2026,4,11))/7)+1,
_xlpm.S,DATE(2026,4,11)+(_xlpm.W-1)*7,
_xlpm.E,_xlpm.S+6,
"W"&amp;TEXT(_xlpm.W,"00")&amp;" ("&amp;TEXT(_xlpm.S,"d/m")&amp;" - "&amp;TEXT(_xlpm.E,"d/m")&amp;")"
))</f>
        <v>W25 (26/9 - 2/10)</v>
      </c>
      <c r="D178" s="40">
        <v>0</v>
      </c>
      <c r="E178" s="40">
        <v>0</v>
      </c>
      <c r="F178" s="40">
        <v>0</v>
      </c>
      <c r="G178" s="40">
        <v>0</v>
      </c>
      <c r="H178" s="40">
        <v>0</v>
      </c>
      <c r="I178" s="40">
        <v>0</v>
      </c>
      <c r="J178" s="40">
        <v>0</v>
      </c>
      <c r="K178" s="40">
        <v>0</v>
      </c>
      <c r="L178" s="40">
        <v>0</v>
      </c>
      <c r="M178" s="40">
        <v>0</v>
      </c>
      <c r="N178" s="40"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5:O171"/>
  <sheetViews>
    <sheetView topLeftCell="A146" zoomScale="115" zoomScaleNormal="115" workbookViewId="0">
      <selection activeCell="A170" sqref="A170:A171"/>
    </sheetView>
  </sheetViews>
  <sheetFormatPr defaultColWidth="8.85546875" defaultRowHeight="12.75" x14ac:dyDescent="0.25"/>
  <cols>
    <col min="1" max="1" width="18.7109375" style="13" customWidth="1"/>
    <col min="2" max="2" width="13.7109375" style="13" customWidth="1"/>
    <col min="3" max="3" width="17.85546875" style="13" bestFit="1" customWidth="1"/>
    <col min="4" max="15" width="13.140625" style="13" customWidth="1"/>
    <col min="16" max="16" width="8.85546875" style="13" customWidth="1"/>
    <col min="17" max="16384" width="8.85546875" style="13"/>
  </cols>
  <sheetData>
    <row r="5" spans="1:15" ht="38.25" customHeight="1" x14ac:dyDescent="0.25">
      <c r="A5" s="34" t="s">
        <v>0</v>
      </c>
      <c r="B5" s="35" t="s">
        <v>1</v>
      </c>
      <c r="C5" s="35" t="s">
        <v>2</v>
      </c>
      <c r="D5" s="35" t="s">
        <v>43</v>
      </c>
      <c r="E5" s="36" t="s">
        <v>44</v>
      </c>
      <c r="F5" s="37" t="s">
        <v>45</v>
      </c>
      <c r="G5" s="37" t="s">
        <v>46</v>
      </c>
      <c r="H5" s="37" t="s">
        <v>47</v>
      </c>
      <c r="I5" s="37" t="s">
        <v>48</v>
      </c>
      <c r="J5" s="37" t="s">
        <v>49</v>
      </c>
      <c r="K5" s="37" t="s">
        <v>50</v>
      </c>
      <c r="L5" s="37" t="s">
        <v>51</v>
      </c>
      <c r="M5" s="37" t="s">
        <v>52</v>
      </c>
      <c r="N5" s="37" t="s">
        <v>53</v>
      </c>
      <c r="O5" s="37" t="s">
        <v>54</v>
      </c>
    </row>
    <row r="6" spans="1:15" x14ac:dyDescent="0.25">
      <c r="A6" s="38">
        <v>46125</v>
      </c>
      <c r="B6" s="39">
        <f t="shared" ref="B6:B37" si="0">A6</f>
        <v>46125</v>
      </c>
      <c r="C6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W01 (11/4 - 17/4)</v>
      </c>
      <c r="D6" s="40">
        <v>0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</row>
    <row r="7" spans="1:15" x14ac:dyDescent="0.25">
      <c r="A7" s="38">
        <v>46126</v>
      </c>
      <c r="B7" s="39">
        <f t="shared" si="0"/>
        <v>46126</v>
      </c>
      <c r="C7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W01 (11/4 - 17/4)</v>
      </c>
      <c r="D7" s="40">
        <v>0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  <c r="O7" s="40">
        <v>0</v>
      </c>
    </row>
    <row r="8" spans="1:15" x14ac:dyDescent="0.25">
      <c r="A8" s="38">
        <v>46127</v>
      </c>
      <c r="B8" s="39">
        <f t="shared" si="0"/>
        <v>46127</v>
      </c>
      <c r="C8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W01 (11/4 - 17/4)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</row>
    <row r="9" spans="1:15" x14ac:dyDescent="0.25">
      <c r="A9" s="38">
        <v>46128</v>
      </c>
      <c r="B9" s="39">
        <f t="shared" si="0"/>
        <v>46128</v>
      </c>
      <c r="C9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W01 (11/4 - 17/4)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  <c r="O9" s="40">
        <v>0</v>
      </c>
    </row>
    <row r="10" spans="1:15" x14ac:dyDescent="0.25">
      <c r="A10" s="38">
        <v>46129</v>
      </c>
      <c r="B10" s="39">
        <f t="shared" si="0"/>
        <v>46129</v>
      </c>
      <c r="C10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W01 (11/4 - 17/4)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</row>
    <row r="11" spans="1:15" x14ac:dyDescent="0.25">
      <c r="A11" s="38">
        <v>46130</v>
      </c>
      <c r="B11" s="39">
        <f t="shared" si="0"/>
        <v>46130</v>
      </c>
      <c r="C11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W02 (18/4 - 24/4)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</row>
    <row r="12" spans="1:15" x14ac:dyDescent="0.25">
      <c r="A12" s="38">
        <v>46131</v>
      </c>
      <c r="B12" s="39">
        <f t="shared" si="0"/>
        <v>46131</v>
      </c>
      <c r="C12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W02 (18/4 - 24/4)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</row>
    <row r="13" spans="1:15" x14ac:dyDescent="0.25">
      <c r="A13" s="38">
        <v>46132</v>
      </c>
      <c r="B13" s="39">
        <f t="shared" si="0"/>
        <v>46132</v>
      </c>
      <c r="C13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W02 (18/4 - 24/4)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</row>
    <row r="14" spans="1:15" x14ac:dyDescent="0.25">
      <c r="A14" s="38">
        <v>46133</v>
      </c>
      <c r="B14" s="39">
        <f t="shared" si="0"/>
        <v>46133</v>
      </c>
      <c r="C14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W02 (18/4 - 24/4)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</row>
    <row r="15" spans="1:15" x14ac:dyDescent="0.25">
      <c r="A15" s="38">
        <v>46134</v>
      </c>
      <c r="B15" s="39">
        <f t="shared" si="0"/>
        <v>46134</v>
      </c>
      <c r="C15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W02 (18/4 - 24/4)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</row>
    <row r="16" spans="1:15" x14ac:dyDescent="0.25">
      <c r="A16" s="38">
        <v>46135</v>
      </c>
      <c r="B16" s="39">
        <f t="shared" si="0"/>
        <v>46135</v>
      </c>
      <c r="C16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W02 (18/4 - 24/4)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</row>
    <row r="17" spans="1:15" x14ac:dyDescent="0.25">
      <c r="A17" s="38">
        <v>46136</v>
      </c>
      <c r="B17" s="39">
        <f t="shared" si="0"/>
        <v>46136</v>
      </c>
      <c r="C17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W02 (18/4 - 24/4)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  <c r="O17" s="40">
        <v>0</v>
      </c>
    </row>
    <row r="18" spans="1:15" x14ac:dyDescent="0.25">
      <c r="A18" s="38">
        <v>46137</v>
      </c>
      <c r="B18" s="39">
        <f t="shared" si="0"/>
        <v>46137</v>
      </c>
      <c r="C18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W03 (25/4 - 1/5)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</row>
    <row r="19" spans="1:15" x14ac:dyDescent="0.25">
      <c r="A19" s="38">
        <v>46138</v>
      </c>
      <c r="B19" s="39">
        <f t="shared" si="0"/>
        <v>46138</v>
      </c>
      <c r="C19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W03 (25/4 - 1/5)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</row>
    <row r="20" spans="1:15" x14ac:dyDescent="0.25">
      <c r="A20" s="38">
        <v>46139</v>
      </c>
      <c r="B20" s="39">
        <f t="shared" si="0"/>
        <v>46139</v>
      </c>
      <c r="C20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W03 (25/4 - 1/5)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</row>
    <row r="21" spans="1:15" x14ac:dyDescent="0.25">
      <c r="A21" s="38">
        <v>46140</v>
      </c>
      <c r="B21" s="39">
        <f t="shared" si="0"/>
        <v>46140</v>
      </c>
      <c r="C21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W03 (25/4 - 1/5)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  <c r="O21" s="40">
        <v>0</v>
      </c>
    </row>
    <row r="22" spans="1:15" x14ac:dyDescent="0.25">
      <c r="A22" s="38">
        <v>46141</v>
      </c>
      <c r="B22" s="39">
        <f t="shared" si="0"/>
        <v>46141</v>
      </c>
      <c r="C22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W03 (25/4 - 1/5)</v>
      </c>
      <c r="D22" s="40">
        <v>0</v>
      </c>
      <c r="E22" s="40">
        <v>0</v>
      </c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</row>
    <row r="23" spans="1:15" x14ac:dyDescent="0.25">
      <c r="A23" s="38">
        <v>46142</v>
      </c>
      <c r="B23" s="39">
        <f t="shared" si="0"/>
        <v>46142</v>
      </c>
      <c r="C23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W03 (25/4 - 1/5)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0">
        <v>0</v>
      </c>
      <c r="O23" s="40">
        <v>0</v>
      </c>
    </row>
    <row r="24" spans="1:15" x14ac:dyDescent="0.25">
      <c r="A24" s="38">
        <v>46143</v>
      </c>
      <c r="B24" s="39">
        <f t="shared" si="0"/>
        <v>46143</v>
      </c>
      <c r="C24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W03 (25/4 - 1/5)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</row>
    <row r="25" spans="1:15" x14ac:dyDescent="0.25">
      <c r="A25" s="38">
        <v>46144</v>
      </c>
      <c r="B25" s="39">
        <f t="shared" si="0"/>
        <v>46144</v>
      </c>
      <c r="C25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W04 (2/5 - 8/5)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0">
        <v>0</v>
      </c>
    </row>
    <row r="26" spans="1:15" x14ac:dyDescent="0.25">
      <c r="A26" s="38">
        <v>46145</v>
      </c>
      <c r="B26" s="39">
        <f t="shared" si="0"/>
        <v>46145</v>
      </c>
      <c r="C26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W04 (2/5 - 8/5)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</row>
    <row r="27" spans="1:15" x14ac:dyDescent="0.25">
      <c r="A27" s="38">
        <v>46146</v>
      </c>
      <c r="B27" s="39">
        <f t="shared" si="0"/>
        <v>46146</v>
      </c>
      <c r="C27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W04 (2/5 - 8/5)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  <c r="O27" s="40">
        <v>0</v>
      </c>
    </row>
    <row r="28" spans="1:15" x14ac:dyDescent="0.25">
      <c r="A28" s="38">
        <v>46147</v>
      </c>
      <c r="B28" s="39">
        <f t="shared" si="0"/>
        <v>46147</v>
      </c>
      <c r="C28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W04 (2/5 - 8/5)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</row>
    <row r="29" spans="1:15" x14ac:dyDescent="0.25">
      <c r="A29" s="38">
        <v>46148</v>
      </c>
      <c r="B29" s="39">
        <f t="shared" si="0"/>
        <v>46148</v>
      </c>
      <c r="C29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W04 (2/5 - 8/5)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</row>
    <row r="30" spans="1:15" x14ac:dyDescent="0.25">
      <c r="A30" s="38">
        <v>46149</v>
      </c>
      <c r="B30" s="39">
        <f t="shared" si="0"/>
        <v>46149</v>
      </c>
      <c r="C30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W04 (2/5 - 8/5)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</row>
    <row r="31" spans="1:15" x14ac:dyDescent="0.25">
      <c r="A31" s="38">
        <v>46150</v>
      </c>
      <c r="B31" s="39">
        <f t="shared" si="0"/>
        <v>46150</v>
      </c>
      <c r="C31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W04 (2/5 - 8/5)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</row>
    <row r="32" spans="1:15" x14ac:dyDescent="0.25">
      <c r="A32" s="38">
        <v>46151</v>
      </c>
      <c r="B32" s="39">
        <f t="shared" si="0"/>
        <v>46151</v>
      </c>
      <c r="C32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W05 (9/5 - 15/5)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</row>
    <row r="33" spans="1:15" x14ac:dyDescent="0.25">
      <c r="A33" s="38">
        <v>46152</v>
      </c>
      <c r="B33" s="39">
        <f t="shared" si="0"/>
        <v>46152</v>
      </c>
      <c r="C33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W05 (9/5 - 15/5)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</row>
    <row r="34" spans="1:15" x14ac:dyDescent="0.25">
      <c r="A34" s="38">
        <v>46153</v>
      </c>
      <c r="B34" s="39">
        <f t="shared" si="0"/>
        <v>46153</v>
      </c>
      <c r="C34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W05 (9/5 - 15/5)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</row>
    <row r="35" spans="1:15" x14ac:dyDescent="0.25">
      <c r="A35" s="38">
        <v>46154</v>
      </c>
      <c r="B35" s="39">
        <f t="shared" si="0"/>
        <v>46154</v>
      </c>
      <c r="C35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W05 (9/5 - 15/5)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</row>
    <row r="36" spans="1:15" x14ac:dyDescent="0.25">
      <c r="A36" s="38">
        <v>46155</v>
      </c>
      <c r="B36" s="39">
        <f t="shared" si="0"/>
        <v>46155</v>
      </c>
      <c r="C36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W05 (9/5 - 15/5)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</row>
    <row r="37" spans="1:15" x14ac:dyDescent="0.25">
      <c r="A37" s="38">
        <v>46156</v>
      </c>
      <c r="B37" s="39">
        <f t="shared" si="0"/>
        <v>46156</v>
      </c>
      <c r="C37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W05 (9/5 - 15/5)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</row>
    <row r="38" spans="1:15" x14ac:dyDescent="0.25">
      <c r="A38" s="38">
        <v>46157</v>
      </c>
      <c r="B38" s="39">
        <f t="shared" ref="B38:B69" si="1">A38</f>
        <v>46157</v>
      </c>
      <c r="C38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W05 (9/5 - 15/5)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</row>
    <row r="39" spans="1:15" x14ac:dyDescent="0.25">
      <c r="A39" s="38">
        <v>46158</v>
      </c>
      <c r="B39" s="39">
        <f t="shared" si="1"/>
        <v>46158</v>
      </c>
      <c r="C39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W06 (16/5 - 22/5)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</row>
    <row r="40" spans="1:15" x14ac:dyDescent="0.25">
      <c r="A40" s="38">
        <v>46159</v>
      </c>
      <c r="B40" s="39">
        <f t="shared" si="1"/>
        <v>46159</v>
      </c>
      <c r="C40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W06 (16/5 - 22/5)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</row>
    <row r="41" spans="1:15" x14ac:dyDescent="0.25">
      <c r="A41" s="38">
        <v>46160</v>
      </c>
      <c r="B41" s="39">
        <f t="shared" si="1"/>
        <v>46160</v>
      </c>
      <c r="C41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W06 (16/5 - 22/5)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  <c r="O41" s="40">
        <v>0</v>
      </c>
    </row>
    <row r="42" spans="1:15" x14ac:dyDescent="0.25">
      <c r="A42" s="38">
        <v>46161</v>
      </c>
      <c r="B42" s="39">
        <f t="shared" si="1"/>
        <v>46161</v>
      </c>
      <c r="C42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W06 (16/5 - 22/5)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</row>
    <row r="43" spans="1:15" x14ac:dyDescent="0.25">
      <c r="A43" s="38">
        <v>46162</v>
      </c>
      <c r="B43" s="39">
        <f t="shared" si="1"/>
        <v>46162</v>
      </c>
      <c r="C43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W06 (16/5 - 22/5)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40">
        <v>0</v>
      </c>
      <c r="O43" s="40">
        <v>0</v>
      </c>
    </row>
    <row r="44" spans="1:15" x14ac:dyDescent="0.25">
      <c r="A44" s="38">
        <v>46163</v>
      </c>
      <c r="B44" s="39">
        <f t="shared" si="1"/>
        <v>46163</v>
      </c>
      <c r="C44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W06 (16/5 - 22/5)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</row>
    <row r="45" spans="1:15" x14ac:dyDescent="0.25">
      <c r="A45" s="38">
        <v>46164</v>
      </c>
      <c r="B45" s="39">
        <f t="shared" si="1"/>
        <v>46164</v>
      </c>
      <c r="C45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W06 (16/5 - 22/5)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</row>
    <row r="46" spans="1:15" x14ac:dyDescent="0.25">
      <c r="A46" s="38">
        <v>46165</v>
      </c>
      <c r="B46" s="39">
        <f t="shared" si="1"/>
        <v>46165</v>
      </c>
      <c r="C46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W07 (23/5 - 29/5)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</row>
    <row r="47" spans="1:15" x14ac:dyDescent="0.25">
      <c r="A47" s="38">
        <v>46166</v>
      </c>
      <c r="B47" s="39">
        <f t="shared" si="1"/>
        <v>46166</v>
      </c>
      <c r="C47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W07 (23/5 - 29/5)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</row>
    <row r="48" spans="1:15" x14ac:dyDescent="0.25">
      <c r="A48" s="38">
        <v>46167</v>
      </c>
      <c r="B48" s="39">
        <f t="shared" si="1"/>
        <v>46167</v>
      </c>
      <c r="C48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W07 (23/5 - 29/5)</v>
      </c>
      <c r="D48" s="40">
        <v>1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</row>
    <row r="49" spans="1:15" x14ac:dyDescent="0.25">
      <c r="A49" s="38">
        <v>46168</v>
      </c>
      <c r="B49" s="39">
        <f t="shared" si="1"/>
        <v>46168</v>
      </c>
      <c r="C49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W07 (23/5 - 29/5)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</row>
    <row r="50" spans="1:15" x14ac:dyDescent="0.25">
      <c r="A50" s="38">
        <v>46169</v>
      </c>
      <c r="B50" s="39">
        <f t="shared" si="1"/>
        <v>46169</v>
      </c>
      <c r="C50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W07 (23/5 - 29/5)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</row>
    <row r="51" spans="1:15" x14ac:dyDescent="0.25">
      <c r="A51" s="38">
        <v>46170</v>
      </c>
      <c r="B51" s="39">
        <f t="shared" si="1"/>
        <v>46170</v>
      </c>
      <c r="C51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W07 (23/5 - 29/5)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</row>
    <row r="52" spans="1:15" x14ac:dyDescent="0.25">
      <c r="A52" s="38">
        <v>46171</v>
      </c>
      <c r="B52" s="39">
        <f t="shared" si="1"/>
        <v>46171</v>
      </c>
      <c r="C52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W07 (23/5 - 29/5)</v>
      </c>
      <c r="D52" s="40">
        <v>1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</row>
    <row r="53" spans="1:15" x14ac:dyDescent="0.25">
      <c r="A53" s="38">
        <v>46172</v>
      </c>
      <c r="B53" s="39">
        <f t="shared" si="1"/>
        <v>46172</v>
      </c>
      <c r="C53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W08 (30/5 - 5/6)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</row>
    <row r="54" spans="1:15" x14ac:dyDescent="0.25">
      <c r="A54" s="38">
        <v>46173</v>
      </c>
      <c r="B54" s="39">
        <f t="shared" si="1"/>
        <v>46173</v>
      </c>
      <c r="C54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W08 (30/5 - 5/6)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</row>
    <row r="55" spans="1:15" x14ac:dyDescent="0.25">
      <c r="A55" s="38">
        <v>46174</v>
      </c>
      <c r="B55" s="39">
        <f t="shared" si="1"/>
        <v>46174</v>
      </c>
      <c r="C55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W08 (30/5 - 5/6)</v>
      </c>
      <c r="D55" s="40">
        <v>0</v>
      </c>
      <c r="E55" s="40">
        <v>0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0</v>
      </c>
    </row>
    <row r="56" spans="1:15" x14ac:dyDescent="0.25">
      <c r="A56" s="38">
        <v>46175</v>
      </c>
      <c r="B56" s="39">
        <f t="shared" si="1"/>
        <v>46175</v>
      </c>
      <c r="C56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W08 (30/5 - 5/6)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</row>
    <row r="57" spans="1:15" x14ac:dyDescent="0.25">
      <c r="A57" s="38">
        <v>46176</v>
      </c>
      <c r="B57" s="39">
        <f t="shared" si="1"/>
        <v>46176</v>
      </c>
      <c r="C57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W08 (30/5 - 5/6)</v>
      </c>
      <c r="D57" s="40">
        <v>0</v>
      </c>
      <c r="E57" s="40">
        <v>0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</row>
    <row r="58" spans="1:15" x14ac:dyDescent="0.25">
      <c r="A58" s="38">
        <v>46177</v>
      </c>
      <c r="B58" s="39">
        <f t="shared" si="1"/>
        <v>46177</v>
      </c>
      <c r="C58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W08 (30/5 - 5/6)</v>
      </c>
      <c r="D58" s="40">
        <v>0</v>
      </c>
      <c r="E58" s="40">
        <v>0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</row>
    <row r="59" spans="1:15" x14ac:dyDescent="0.25">
      <c r="A59" s="38">
        <v>46178</v>
      </c>
      <c r="B59" s="39">
        <f t="shared" si="1"/>
        <v>46178</v>
      </c>
      <c r="C59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W08 (30/5 - 5/6)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</row>
    <row r="60" spans="1:15" x14ac:dyDescent="0.25">
      <c r="A60" s="38">
        <v>46179</v>
      </c>
      <c r="B60" s="39">
        <f t="shared" si="1"/>
        <v>46179</v>
      </c>
      <c r="C60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W09 (6/6 - 12/6)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</row>
    <row r="61" spans="1:15" x14ac:dyDescent="0.25">
      <c r="A61" s="38">
        <v>46180</v>
      </c>
      <c r="B61" s="39">
        <f t="shared" si="1"/>
        <v>46180</v>
      </c>
      <c r="C61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W09 (6/6 - 12/6)</v>
      </c>
      <c r="D61" s="40">
        <v>0</v>
      </c>
      <c r="E61" s="40">
        <v>0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</row>
    <row r="62" spans="1:15" x14ac:dyDescent="0.25">
      <c r="A62" s="38">
        <v>46181</v>
      </c>
      <c r="B62" s="39">
        <f t="shared" si="1"/>
        <v>46181</v>
      </c>
      <c r="C62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W09 (6/6 - 12/6)</v>
      </c>
      <c r="D62" s="40">
        <v>1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</row>
    <row r="63" spans="1:15" x14ac:dyDescent="0.25">
      <c r="A63" s="38">
        <v>46182</v>
      </c>
      <c r="B63" s="39">
        <f t="shared" si="1"/>
        <v>46182</v>
      </c>
      <c r="C63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W09 (6/6 - 12/6)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</row>
    <row r="64" spans="1:15" x14ac:dyDescent="0.25">
      <c r="A64" s="38">
        <v>46183</v>
      </c>
      <c r="B64" s="39">
        <f t="shared" si="1"/>
        <v>46183</v>
      </c>
      <c r="C64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W09 (6/6 - 12/6)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</row>
    <row r="65" spans="1:15" x14ac:dyDescent="0.25">
      <c r="A65" s="38">
        <v>46184</v>
      </c>
      <c r="B65" s="39">
        <f t="shared" si="1"/>
        <v>46184</v>
      </c>
      <c r="C65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W09 (6/6 - 12/6)</v>
      </c>
      <c r="D65" s="40">
        <v>0</v>
      </c>
      <c r="E65" s="40">
        <v>1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0">
        <v>0</v>
      </c>
    </row>
    <row r="66" spans="1:15" x14ac:dyDescent="0.25">
      <c r="A66" s="38">
        <v>46185</v>
      </c>
      <c r="B66" s="39">
        <f t="shared" si="1"/>
        <v>46185</v>
      </c>
      <c r="C66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W09 (6/6 - 12/6)</v>
      </c>
      <c r="D66" s="40">
        <v>1</v>
      </c>
      <c r="E66" s="40">
        <v>1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</row>
    <row r="67" spans="1:15" x14ac:dyDescent="0.25">
      <c r="A67" s="38">
        <v>46186</v>
      </c>
      <c r="B67" s="39">
        <f t="shared" si="1"/>
        <v>46186</v>
      </c>
      <c r="C67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W10 (13/6 - 19/6)</v>
      </c>
      <c r="D67" s="40">
        <v>0</v>
      </c>
      <c r="E67" s="40">
        <v>1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  <c r="O67" s="40">
        <v>0</v>
      </c>
    </row>
    <row r="68" spans="1:15" x14ac:dyDescent="0.25">
      <c r="A68" s="38">
        <v>46187</v>
      </c>
      <c r="B68" s="39">
        <f t="shared" si="1"/>
        <v>46187</v>
      </c>
      <c r="C68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W10 (13/6 - 19/6)</v>
      </c>
      <c r="D68" s="40">
        <v>0</v>
      </c>
      <c r="E68" s="40">
        <v>1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</row>
    <row r="69" spans="1:15" x14ac:dyDescent="0.25">
      <c r="A69" s="38">
        <v>46188</v>
      </c>
      <c r="B69" s="39">
        <f t="shared" si="1"/>
        <v>46188</v>
      </c>
      <c r="C69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W10 (13/6 - 19/6)</v>
      </c>
      <c r="D69" s="40">
        <v>0</v>
      </c>
      <c r="E69" s="40">
        <v>1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</row>
    <row r="70" spans="1:15" x14ac:dyDescent="0.25">
      <c r="A70" s="38">
        <v>46189</v>
      </c>
      <c r="B70" s="39">
        <f t="shared" ref="B70:B101" si="2">A70</f>
        <v>46189</v>
      </c>
      <c r="C70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W10 (13/6 - 19/6)</v>
      </c>
      <c r="D70" s="40">
        <v>0</v>
      </c>
      <c r="E70" s="40">
        <v>1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</row>
    <row r="71" spans="1:15" x14ac:dyDescent="0.25">
      <c r="A71" s="38">
        <v>46190</v>
      </c>
      <c r="B71" s="39">
        <f t="shared" si="2"/>
        <v>46190</v>
      </c>
      <c r="C71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W10 (13/6 - 19/6)</v>
      </c>
      <c r="D71" s="40">
        <v>0</v>
      </c>
      <c r="E71" s="40">
        <v>1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</row>
    <row r="72" spans="1:15" x14ac:dyDescent="0.25">
      <c r="A72" s="38">
        <v>46191</v>
      </c>
      <c r="B72" s="39">
        <f t="shared" si="2"/>
        <v>46191</v>
      </c>
      <c r="C72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W10 (13/6 - 19/6)</v>
      </c>
      <c r="D72" s="40">
        <v>0</v>
      </c>
      <c r="E72" s="40">
        <v>1</v>
      </c>
      <c r="F72" s="40">
        <v>0</v>
      </c>
      <c r="G72" s="40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</row>
    <row r="73" spans="1:15" x14ac:dyDescent="0.25">
      <c r="A73" s="38">
        <v>46192</v>
      </c>
      <c r="B73" s="39">
        <f t="shared" si="2"/>
        <v>46192</v>
      </c>
      <c r="C73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W10 (13/6 - 19/6)</v>
      </c>
      <c r="D73" s="40">
        <v>0</v>
      </c>
      <c r="E73" s="40">
        <v>1</v>
      </c>
      <c r="F73" s="40">
        <v>0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  <c r="M73" s="40">
        <v>0</v>
      </c>
      <c r="N73" s="40">
        <v>0</v>
      </c>
      <c r="O73" s="40">
        <v>0</v>
      </c>
    </row>
    <row r="74" spans="1:15" x14ac:dyDescent="0.25">
      <c r="A74" s="38">
        <v>46193</v>
      </c>
      <c r="B74" s="39">
        <f t="shared" si="2"/>
        <v>46193</v>
      </c>
      <c r="C74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W11 (20/6 - 26/6)</v>
      </c>
      <c r="D74" s="40">
        <v>1</v>
      </c>
      <c r="E74" s="40">
        <v>1</v>
      </c>
      <c r="F74" s="40">
        <v>0</v>
      </c>
      <c r="G74" s="40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</row>
    <row r="75" spans="1:15" x14ac:dyDescent="0.25">
      <c r="A75" s="38">
        <v>46194</v>
      </c>
      <c r="B75" s="39">
        <f t="shared" si="2"/>
        <v>46194</v>
      </c>
      <c r="C75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W11 (20/6 - 26/6)</v>
      </c>
      <c r="D75" s="40">
        <v>0</v>
      </c>
      <c r="E75" s="40">
        <v>1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</row>
    <row r="76" spans="1:15" x14ac:dyDescent="0.25">
      <c r="A76" s="38">
        <v>46195</v>
      </c>
      <c r="B76" s="39">
        <f t="shared" si="2"/>
        <v>46195</v>
      </c>
      <c r="C76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W11 (20/6 - 26/6)</v>
      </c>
      <c r="D76" s="40">
        <v>0</v>
      </c>
      <c r="E76" s="40">
        <v>1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</row>
    <row r="77" spans="1:15" x14ac:dyDescent="0.25">
      <c r="A77" s="38">
        <v>46196</v>
      </c>
      <c r="B77" s="39">
        <f t="shared" si="2"/>
        <v>46196</v>
      </c>
      <c r="C77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W11 (20/6 - 26/6)</v>
      </c>
      <c r="D77" s="40">
        <v>0</v>
      </c>
      <c r="E77" s="40">
        <v>1</v>
      </c>
      <c r="F77" s="40">
        <v>0</v>
      </c>
      <c r="G77" s="40">
        <v>0</v>
      </c>
      <c r="H77" s="40">
        <v>0</v>
      </c>
      <c r="I77" s="40">
        <v>0</v>
      </c>
      <c r="J77" s="40">
        <v>0</v>
      </c>
      <c r="K77" s="40">
        <v>0</v>
      </c>
      <c r="L77" s="40">
        <v>0</v>
      </c>
      <c r="M77" s="40">
        <v>0</v>
      </c>
      <c r="N77" s="40">
        <v>0</v>
      </c>
      <c r="O77" s="40">
        <v>0</v>
      </c>
    </row>
    <row r="78" spans="1:15" x14ac:dyDescent="0.25">
      <c r="A78" s="38">
        <v>46197</v>
      </c>
      <c r="B78" s="39">
        <f t="shared" si="2"/>
        <v>46197</v>
      </c>
      <c r="C78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W11 (20/6 - 26/6)</v>
      </c>
      <c r="D78" s="40">
        <v>0</v>
      </c>
      <c r="E78" s="40">
        <v>1</v>
      </c>
      <c r="F78" s="40">
        <v>0</v>
      </c>
      <c r="G78" s="40">
        <v>0</v>
      </c>
      <c r="H78" s="40">
        <v>0</v>
      </c>
      <c r="I78" s="40">
        <v>0</v>
      </c>
      <c r="J78" s="40">
        <v>1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</row>
    <row r="79" spans="1:15" x14ac:dyDescent="0.25">
      <c r="A79" s="38">
        <v>46198</v>
      </c>
      <c r="B79" s="39">
        <f t="shared" si="2"/>
        <v>46198</v>
      </c>
      <c r="C79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W11 (20/6 - 26/6)</v>
      </c>
      <c r="D79" s="40">
        <v>0</v>
      </c>
      <c r="E79" s="40">
        <v>1</v>
      </c>
      <c r="F79" s="40">
        <v>0</v>
      </c>
      <c r="G79" s="40">
        <v>0</v>
      </c>
      <c r="H79" s="40">
        <v>0</v>
      </c>
      <c r="I79" s="40">
        <v>0</v>
      </c>
      <c r="J79" s="40">
        <v>0</v>
      </c>
      <c r="K79" s="40">
        <v>0</v>
      </c>
      <c r="L79" s="40">
        <v>0</v>
      </c>
      <c r="M79" s="40">
        <v>0</v>
      </c>
      <c r="N79" s="40">
        <v>0</v>
      </c>
      <c r="O79" s="40">
        <v>0</v>
      </c>
    </row>
    <row r="80" spans="1:15" x14ac:dyDescent="0.25">
      <c r="A80" s="38">
        <v>46199</v>
      </c>
      <c r="B80" s="39">
        <f t="shared" si="2"/>
        <v>46199</v>
      </c>
      <c r="C80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W11 (20/6 - 26/6)</v>
      </c>
      <c r="D80" s="40">
        <v>1</v>
      </c>
      <c r="E80" s="40">
        <v>1</v>
      </c>
      <c r="F80" s="40">
        <v>0</v>
      </c>
      <c r="G80" s="40">
        <v>0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  <c r="O80" s="40">
        <v>0</v>
      </c>
    </row>
    <row r="81" spans="1:15" x14ac:dyDescent="0.25">
      <c r="A81" s="38">
        <v>46200</v>
      </c>
      <c r="B81" s="39">
        <f t="shared" si="2"/>
        <v>46200</v>
      </c>
      <c r="C81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W12 (27/6 - 3/7)</v>
      </c>
      <c r="D81" s="40">
        <v>0</v>
      </c>
      <c r="E81" s="40">
        <v>1</v>
      </c>
      <c r="F81" s="40">
        <v>0</v>
      </c>
      <c r="G81" s="40">
        <v>0</v>
      </c>
      <c r="H81" s="40">
        <v>0</v>
      </c>
      <c r="I81" s="40">
        <v>0</v>
      </c>
      <c r="J81" s="40">
        <v>0</v>
      </c>
      <c r="K81" s="40">
        <v>0</v>
      </c>
      <c r="L81" s="40">
        <v>0</v>
      </c>
      <c r="M81" s="40">
        <v>0</v>
      </c>
      <c r="N81" s="40">
        <v>0</v>
      </c>
      <c r="O81" s="40">
        <v>0</v>
      </c>
    </row>
    <row r="82" spans="1:15" x14ac:dyDescent="0.25">
      <c r="A82" s="38">
        <v>46201</v>
      </c>
      <c r="B82" s="39">
        <f t="shared" si="2"/>
        <v>46201</v>
      </c>
      <c r="C82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W12 (27/6 - 3/7)</v>
      </c>
      <c r="D82" s="40">
        <v>0</v>
      </c>
      <c r="E82" s="40">
        <v>1</v>
      </c>
      <c r="F82" s="40">
        <v>0</v>
      </c>
      <c r="G82" s="40">
        <v>0</v>
      </c>
      <c r="H82" s="40">
        <v>0</v>
      </c>
      <c r="I82" s="40">
        <v>0</v>
      </c>
      <c r="J82" s="40">
        <v>0</v>
      </c>
      <c r="K82" s="40">
        <v>0</v>
      </c>
      <c r="L82" s="40">
        <v>0</v>
      </c>
      <c r="M82" s="40">
        <v>0</v>
      </c>
      <c r="N82" s="40">
        <v>0</v>
      </c>
      <c r="O82" s="40">
        <v>0</v>
      </c>
    </row>
    <row r="83" spans="1:15" x14ac:dyDescent="0.25">
      <c r="A83" s="38">
        <v>46202</v>
      </c>
      <c r="B83" s="39">
        <f t="shared" si="2"/>
        <v>46202</v>
      </c>
      <c r="C83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W12 (27/6 - 3/7)</v>
      </c>
      <c r="D83" s="40">
        <v>0</v>
      </c>
      <c r="E83" s="40">
        <v>1</v>
      </c>
      <c r="F83" s="40">
        <v>0</v>
      </c>
      <c r="G83" s="40">
        <v>0</v>
      </c>
      <c r="H83" s="40">
        <v>0</v>
      </c>
      <c r="I83" s="40">
        <v>0</v>
      </c>
      <c r="J83" s="40">
        <v>0</v>
      </c>
      <c r="K83" s="40">
        <v>0</v>
      </c>
      <c r="L83" s="40">
        <v>0</v>
      </c>
      <c r="M83" s="40">
        <v>0</v>
      </c>
      <c r="N83" s="40">
        <v>0</v>
      </c>
      <c r="O83" s="40">
        <v>0</v>
      </c>
    </row>
    <row r="84" spans="1:15" x14ac:dyDescent="0.25">
      <c r="A84" s="38">
        <v>46203</v>
      </c>
      <c r="B84" s="39">
        <f t="shared" si="2"/>
        <v>46203</v>
      </c>
      <c r="C84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W12 (27/6 - 3/7)</v>
      </c>
      <c r="D84" s="40">
        <v>0</v>
      </c>
      <c r="E84" s="40">
        <v>1</v>
      </c>
      <c r="F84" s="40">
        <v>0</v>
      </c>
      <c r="G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</row>
    <row r="85" spans="1:15" x14ac:dyDescent="0.25">
      <c r="A85" s="38">
        <v>46204</v>
      </c>
      <c r="B85" s="39">
        <f t="shared" si="2"/>
        <v>46204</v>
      </c>
      <c r="C85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W12 (27/6 - 3/7)</v>
      </c>
      <c r="D85" s="40">
        <v>1</v>
      </c>
      <c r="E85" s="40">
        <v>1</v>
      </c>
      <c r="F85" s="40">
        <v>0</v>
      </c>
      <c r="G85" s="40">
        <v>0</v>
      </c>
      <c r="H85" s="40">
        <v>0</v>
      </c>
      <c r="I85" s="40">
        <v>0</v>
      </c>
      <c r="J85" s="40">
        <v>1</v>
      </c>
      <c r="K85" s="40">
        <v>0</v>
      </c>
      <c r="L85" s="40">
        <v>0</v>
      </c>
      <c r="M85" s="40">
        <v>0</v>
      </c>
      <c r="N85" s="40">
        <v>0</v>
      </c>
      <c r="O85" s="40">
        <v>0</v>
      </c>
    </row>
    <row r="86" spans="1:15" x14ac:dyDescent="0.25">
      <c r="A86" s="38">
        <v>46205</v>
      </c>
      <c r="B86" s="39">
        <f t="shared" si="2"/>
        <v>46205</v>
      </c>
      <c r="C86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W12 (27/6 - 3/7)</v>
      </c>
      <c r="D86" s="40">
        <v>1</v>
      </c>
      <c r="E86" s="40">
        <v>1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</row>
    <row r="87" spans="1:15" x14ac:dyDescent="0.25">
      <c r="A87" s="38">
        <v>46206</v>
      </c>
      <c r="B87" s="39">
        <f t="shared" si="2"/>
        <v>46206</v>
      </c>
      <c r="C87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W12 (27/6 - 3/7)</v>
      </c>
      <c r="D87" s="40">
        <v>1</v>
      </c>
      <c r="E87" s="40">
        <v>1</v>
      </c>
      <c r="F87" s="40">
        <v>0</v>
      </c>
      <c r="G87" s="40">
        <v>0</v>
      </c>
      <c r="H87" s="40">
        <v>0</v>
      </c>
      <c r="I87" s="40">
        <v>0</v>
      </c>
      <c r="J87" s="40">
        <v>0</v>
      </c>
      <c r="K87" s="40">
        <v>0</v>
      </c>
      <c r="L87" s="40">
        <v>0</v>
      </c>
      <c r="M87" s="40">
        <v>0</v>
      </c>
      <c r="N87" s="40">
        <v>0</v>
      </c>
      <c r="O87" s="40">
        <v>0</v>
      </c>
    </row>
    <row r="88" spans="1:15" x14ac:dyDescent="0.25">
      <c r="A88" s="38">
        <v>46207</v>
      </c>
      <c r="B88" s="39">
        <f t="shared" si="2"/>
        <v>46207</v>
      </c>
      <c r="C88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W13 (4/7 - 10/7)</v>
      </c>
      <c r="D88" s="40">
        <v>0</v>
      </c>
      <c r="E88" s="40">
        <v>1</v>
      </c>
      <c r="F88" s="40">
        <v>0</v>
      </c>
      <c r="G88" s="40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  <c r="M88" s="40">
        <v>0</v>
      </c>
      <c r="N88" s="40">
        <v>0</v>
      </c>
      <c r="O88" s="40">
        <v>0</v>
      </c>
    </row>
    <row r="89" spans="1:15" x14ac:dyDescent="0.25">
      <c r="A89" s="38">
        <v>46208</v>
      </c>
      <c r="B89" s="39">
        <f t="shared" si="2"/>
        <v>46208</v>
      </c>
      <c r="C89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W13 (4/7 - 10/7)</v>
      </c>
      <c r="D89" s="40">
        <v>0</v>
      </c>
      <c r="E89" s="40">
        <v>1</v>
      </c>
      <c r="F89" s="40">
        <v>0</v>
      </c>
      <c r="G89" s="40">
        <v>0</v>
      </c>
      <c r="H89" s="40">
        <v>0</v>
      </c>
      <c r="I89" s="40">
        <v>0</v>
      </c>
      <c r="J89" s="40">
        <v>0</v>
      </c>
      <c r="K89" s="40">
        <v>0</v>
      </c>
      <c r="L89" s="40">
        <v>0</v>
      </c>
      <c r="M89" s="40">
        <v>0</v>
      </c>
      <c r="N89" s="40">
        <v>0</v>
      </c>
      <c r="O89" s="40">
        <v>0</v>
      </c>
    </row>
    <row r="90" spans="1:15" x14ac:dyDescent="0.25">
      <c r="A90" s="38">
        <v>46209</v>
      </c>
      <c r="B90" s="39">
        <f t="shared" si="2"/>
        <v>46209</v>
      </c>
      <c r="C90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W13 (4/7 - 10/7)</v>
      </c>
      <c r="D90" s="40">
        <v>1</v>
      </c>
      <c r="E90" s="40">
        <v>1</v>
      </c>
      <c r="F90" s="40">
        <v>0</v>
      </c>
      <c r="G90" s="40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  <c r="O90" s="40">
        <v>0</v>
      </c>
    </row>
    <row r="91" spans="1:15" x14ac:dyDescent="0.25">
      <c r="A91" s="38">
        <v>46210</v>
      </c>
      <c r="B91" s="39">
        <f t="shared" si="2"/>
        <v>46210</v>
      </c>
      <c r="C91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W13 (4/7 - 10/7)</v>
      </c>
      <c r="D91" s="40">
        <v>0</v>
      </c>
      <c r="E91" s="40">
        <v>1</v>
      </c>
      <c r="F91" s="40">
        <v>0</v>
      </c>
      <c r="G91" s="40">
        <v>0</v>
      </c>
      <c r="H91" s="40">
        <v>0</v>
      </c>
      <c r="I91" s="40">
        <v>0</v>
      </c>
      <c r="J91" s="40">
        <v>0</v>
      </c>
      <c r="K91" s="40">
        <v>0</v>
      </c>
      <c r="L91" s="40">
        <v>0</v>
      </c>
      <c r="M91" s="40">
        <v>0</v>
      </c>
      <c r="N91" s="40">
        <v>0</v>
      </c>
      <c r="O91" s="40">
        <v>0</v>
      </c>
    </row>
    <row r="92" spans="1:15" x14ac:dyDescent="0.25">
      <c r="A92" s="38">
        <v>46211</v>
      </c>
      <c r="B92" s="39">
        <f t="shared" si="2"/>
        <v>46211</v>
      </c>
      <c r="C92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W13 (4/7 - 10/7)</v>
      </c>
      <c r="D92" s="40">
        <v>1</v>
      </c>
      <c r="E92" s="40">
        <v>1</v>
      </c>
      <c r="F92" s="40">
        <v>0</v>
      </c>
      <c r="G92" s="40">
        <v>0</v>
      </c>
      <c r="H92" s="40">
        <v>0</v>
      </c>
      <c r="I92" s="40">
        <v>0</v>
      </c>
      <c r="J92" s="40">
        <v>1</v>
      </c>
      <c r="K92" s="40">
        <v>0</v>
      </c>
      <c r="L92" s="40">
        <v>0</v>
      </c>
      <c r="M92" s="40">
        <v>0</v>
      </c>
      <c r="N92" s="40">
        <v>0</v>
      </c>
      <c r="O92" s="40">
        <v>0</v>
      </c>
    </row>
    <row r="93" spans="1:15" x14ac:dyDescent="0.25">
      <c r="A93" s="38">
        <v>46212</v>
      </c>
      <c r="B93" s="39">
        <f t="shared" si="2"/>
        <v>46212</v>
      </c>
      <c r="C93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W13 (4/7 - 10/7)</v>
      </c>
      <c r="D93" s="40">
        <v>1</v>
      </c>
      <c r="E93" s="40">
        <v>1</v>
      </c>
      <c r="F93" s="40">
        <v>0</v>
      </c>
      <c r="G93" s="40">
        <v>0</v>
      </c>
      <c r="H93" s="40">
        <v>0</v>
      </c>
      <c r="I93" s="40">
        <v>0</v>
      </c>
      <c r="J93" s="40">
        <v>0</v>
      </c>
      <c r="K93" s="40">
        <v>0</v>
      </c>
      <c r="L93" s="40">
        <v>0</v>
      </c>
      <c r="M93" s="40">
        <v>0</v>
      </c>
      <c r="N93" s="40">
        <v>0</v>
      </c>
      <c r="O93" s="40">
        <v>0</v>
      </c>
    </row>
    <row r="94" spans="1:15" x14ac:dyDescent="0.25">
      <c r="A94" s="38">
        <v>46213</v>
      </c>
      <c r="B94" s="39">
        <f t="shared" si="2"/>
        <v>46213</v>
      </c>
      <c r="C94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W13 (4/7 - 10/7)</v>
      </c>
      <c r="D94" s="40">
        <v>1</v>
      </c>
      <c r="E94" s="40">
        <v>1</v>
      </c>
      <c r="F94" s="40">
        <v>0</v>
      </c>
      <c r="G94" s="40">
        <v>0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  <c r="M94" s="40">
        <v>0</v>
      </c>
      <c r="N94" s="40">
        <v>0</v>
      </c>
      <c r="O94" s="40">
        <v>0</v>
      </c>
    </row>
    <row r="95" spans="1:15" x14ac:dyDescent="0.25">
      <c r="A95" s="38">
        <v>46214</v>
      </c>
      <c r="B95" s="39">
        <f t="shared" si="2"/>
        <v>46214</v>
      </c>
      <c r="C95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W14 (11/7 - 17/7)</v>
      </c>
      <c r="D95" s="40">
        <v>0</v>
      </c>
      <c r="E95" s="40">
        <v>1</v>
      </c>
      <c r="F95" s="40">
        <v>0</v>
      </c>
      <c r="G95" s="40">
        <v>0</v>
      </c>
      <c r="H95" s="40">
        <v>0</v>
      </c>
      <c r="I95" s="40">
        <v>0</v>
      </c>
      <c r="J95" s="40">
        <v>0</v>
      </c>
      <c r="K95" s="40">
        <v>0</v>
      </c>
      <c r="L95" s="40">
        <v>0</v>
      </c>
      <c r="M95" s="40">
        <v>0</v>
      </c>
      <c r="N95" s="40">
        <v>0</v>
      </c>
      <c r="O95" s="40">
        <v>0</v>
      </c>
    </row>
    <row r="96" spans="1:15" x14ac:dyDescent="0.25">
      <c r="A96" s="38">
        <v>46215</v>
      </c>
      <c r="B96" s="39">
        <f t="shared" si="2"/>
        <v>46215</v>
      </c>
      <c r="C96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W14 (11/7 - 17/7)</v>
      </c>
      <c r="D96" s="40">
        <v>0</v>
      </c>
      <c r="E96" s="40">
        <v>1</v>
      </c>
      <c r="F96" s="40">
        <v>0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</row>
    <row r="97" spans="1:15" x14ac:dyDescent="0.25">
      <c r="A97" s="38">
        <v>46216</v>
      </c>
      <c r="B97" s="39">
        <f t="shared" si="2"/>
        <v>46216</v>
      </c>
      <c r="C97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W14 (11/7 - 17/7)</v>
      </c>
      <c r="D97" s="40">
        <v>0</v>
      </c>
      <c r="E97" s="40">
        <v>1</v>
      </c>
      <c r="F97" s="40">
        <v>0</v>
      </c>
      <c r="G97" s="40">
        <v>0</v>
      </c>
      <c r="H97" s="40">
        <v>0</v>
      </c>
      <c r="I97" s="40">
        <v>0</v>
      </c>
      <c r="J97" s="40">
        <v>0</v>
      </c>
      <c r="K97" s="40">
        <v>0</v>
      </c>
      <c r="L97" s="40">
        <v>0</v>
      </c>
      <c r="M97" s="40">
        <v>0</v>
      </c>
      <c r="N97" s="40">
        <v>0</v>
      </c>
      <c r="O97" s="40">
        <v>0</v>
      </c>
    </row>
    <row r="98" spans="1:15" x14ac:dyDescent="0.25">
      <c r="A98" s="38">
        <v>46217</v>
      </c>
      <c r="B98" s="39">
        <f t="shared" si="2"/>
        <v>46217</v>
      </c>
      <c r="C98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W14 (11/7 - 17/7)</v>
      </c>
      <c r="D98" s="40">
        <v>0</v>
      </c>
      <c r="E98" s="40">
        <v>1</v>
      </c>
      <c r="F98" s="40">
        <v>0</v>
      </c>
      <c r="G98" s="40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0">
        <v>0</v>
      </c>
    </row>
    <row r="99" spans="1:15" x14ac:dyDescent="0.25">
      <c r="A99" s="38">
        <v>46218</v>
      </c>
      <c r="B99" s="39">
        <f t="shared" si="2"/>
        <v>46218</v>
      </c>
      <c r="C99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W14 (11/7 - 17/7)</v>
      </c>
      <c r="D99" s="40">
        <v>1</v>
      </c>
      <c r="E99" s="40">
        <v>1</v>
      </c>
      <c r="F99" s="40">
        <v>0</v>
      </c>
      <c r="G99" s="40">
        <v>0</v>
      </c>
      <c r="H99" s="40">
        <v>0</v>
      </c>
      <c r="I99" s="40">
        <v>0</v>
      </c>
      <c r="J99" s="40">
        <v>1</v>
      </c>
      <c r="K99" s="40">
        <v>0</v>
      </c>
      <c r="L99" s="40">
        <v>0</v>
      </c>
      <c r="M99" s="40">
        <v>0</v>
      </c>
      <c r="N99" s="40">
        <v>0</v>
      </c>
      <c r="O99" s="40">
        <v>0</v>
      </c>
    </row>
    <row r="100" spans="1:15" x14ac:dyDescent="0.25">
      <c r="A100" s="38">
        <v>46219</v>
      </c>
      <c r="B100" s="39">
        <f t="shared" si="2"/>
        <v>46219</v>
      </c>
      <c r="C100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W14 (11/7 - 17/7)</v>
      </c>
      <c r="D100" s="40">
        <v>0</v>
      </c>
      <c r="E100" s="40">
        <v>1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</row>
    <row r="101" spans="1:15" x14ac:dyDescent="0.25">
      <c r="A101" s="38">
        <v>46220</v>
      </c>
      <c r="B101" s="39">
        <f t="shared" si="2"/>
        <v>46220</v>
      </c>
      <c r="C101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W14 (11/7 - 17/7)</v>
      </c>
      <c r="D101" s="40">
        <v>1</v>
      </c>
      <c r="E101" s="40">
        <v>1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40">
        <v>0</v>
      </c>
      <c r="O101" s="40">
        <v>0</v>
      </c>
    </row>
    <row r="102" spans="1:15" x14ac:dyDescent="0.25">
      <c r="A102" s="38">
        <v>46221</v>
      </c>
      <c r="B102" s="39">
        <f t="shared" ref="B102:B133" si="3">A102</f>
        <v>46221</v>
      </c>
      <c r="C102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W15 (18/7 - 24/7)</v>
      </c>
      <c r="D102" s="40">
        <v>0</v>
      </c>
      <c r="E102" s="40">
        <v>1</v>
      </c>
      <c r="F102" s="40">
        <v>0</v>
      </c>
      <c r="G102" s="40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0">
        <v>0</v>
      </c>
      <c r="O102" s="40">
        <v>0</v>
      </c>
    </row>
    <row r="103" spans="1:15" x14ac:dyDescent="0.25">
      <c r="A103" s="38">
        <v>46222</v>
      </c>
      <c r="B103" s="39">
        <f t="shared" si="3"/>
        <v>46222</v>
      </c>
      <c r="C103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W15 (18/7 - 24/7)</v>
      </c>
      <c r="D103" s="40">
        <v>0</v>
      </c>
      <c r="E103" s="40">
        <v>1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M103" s="40">
        <v>0</v>
      </c>
      <c r="N103" s="40">
        <v>0</v>
      </c>
      <c r="O103" s="40">
        <v>0</v>
      </c>
    </row>
    <row r="104" spans="1:15" x14ac:dyDescent="0.25">
      <c r="A104" s="38">
        <v>46223</v>
      </c>
      <c r="B104" s="39">
        <f t="shared" si="3"/>
        <v>46223</v>
      </c>
      <c r="C104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W15 (18/7 - 24/7)</v>
      </c>
      <c r="D104" s="40">
        <v>1</v>
      </c>
      <c r="E104" s="40">
        <v>1</v>
      </c>
      <c r="F104" s="40">
        <v>0</v>
      </c>
      <c r="G104" s="40">
        <v>0</v>
      </c>
      <c r="H104" s="40">
        <v>0</v>
      </c>
      <c r="I104" s="40">
        <v>0</v>
      </c>
      <c r="J104" s="40">
        <v>0</v>
      </c>
      <c r="K104" s="40">
        <v>0</v>
      </c>
      <c r="L104" s="40">
        <v>0</v>
      </c>
      <c r="M104" s="40">
        <v>0</v>
      </c>
      <c r="N104" s="40">
        <v>0</v>
      </c>
      <c r="O104" s="40">
        <v>0</v>
      </c>
    </row>
    <row r="105" spans="1:15" x14ac:dyDescent="0.25">
      <c r="A105" s="38">
        <v>46224</v>
      </c>
      <c r="B105" s="39">
        <f t="shared" si="3"/>
        <v>46224</v>
      </c>
      <c r="C105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W15 (18/7 - 24/7)</v>
      </c>
      <c r="D105" s="40">
        <v>0</v>
      </c>
      <c r="E105" s="40">
        <v>1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0</v>
      </c>
      <c r="N105" s="40">
        <v>0</v>
      </c>
      <c r="O105" s="40">
        <v>0</v>
      </c>
    </row>
    <row r="106" spans="1:15" x14ac:dyDescent="0.25">
      <c r="A106" s="38">
        <v>46225</v>
      </c>
      <c r="B106" s="39">
        <f t="shared" si="3"/>
        <v>46225</v>
      </c>
      <c r="C106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W15 (18/7 - 24/7)</v>
      </c>
      <c r="D106" s="40">
        <v>0</v>
      </c>
      <c r="E106" s="40">
        <v>1</v>
      </c>
      <c r="F106" s="40">
        <v>0</v>
      </c>
      <c r="G106" s="40">
        <v>0</v>
      </c>
      <c r="H106" s="40">
        <v>0</v>
      </c>
      <c r="I106" s="40">
        <v>0</v>
      </c>
      <c r="J106" s="40">
        <v>1</v>
      </c>
      <c r="K106" s="40">
        <v>0</v>
      </c>
      <c r="L106" s="40">
        <v>0</v>
      </c>
      <c r="M106" s="40">
        <v>0</v>
      </c>
      <c r="N106" s="40">
        <v>0</v>
      </c>
      <c r="O106" s="40">
        <v>0</v>
      </c>
    </row>
    <row r="107" spans="1:15" x14ac:dyDescent="0.25">
      <c r="A107" s="38">
        <v>46226</v>
      </c>
      <c r="B107" s="39">
        <f t="shared" si="3"/>
        <v>46226</v>
      </c>
      <c r="C107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W15 (18/7 - 24/7)</v>
      </c>
      <c r="D107" s="40">
        <v>0</v>
      </c>
      <c r="E107" s="40">
        <v>1</v>
      </c>
      <c r="F107" s="40">
        <v>0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M107" s="40">
        <v>0</v>
      </c>
      <c r="N107" s="40">
        <v>0</v>
      </c>
      <c r="O107" s="40">
        <v>0</v>
      </c>
    </row>
    <row r="108" spans="1:15" x14ac:dyDescent="0.25">
      <c r="A108" s="38">
        <v>46227</v>
      </c>
      <c r="B108" s="39">
        <f t="shared" si="3"/>
        <v>46227</v>
      </c>
      <c r="C108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W15 (18/7 - 24/7)</v>
      </c>
      <c r="D108" s="40">
        <v>1</v>
      </c>
      <c r="E108" s="40">
        <v>1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1</v>
      </c>
      <c r="L108" s="40">
        <v>0</v>
      </c>
      <c r="M108" s="40">
        <v>0</v>
      </c>
      <c r="N108" s="40">
        <v>0</v>
      </c>
      <c r="O108" s="40">
        <v>0</v>
      </c>
    </row>
    <row r="109" spans="1:15" x14ac:dyDescent="0.25">
      <c r="A109" s="38">
        <v>46228</v>
      </c>
      <c r="B109" s="39">
        <f t="shared" si="3"/>
        <v>46228</v>
      </c>
      <c r="C109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W16 (25/7 - 31/7)</v>
      </c>
      <c r="D109" s="40">
        <v>0</v>
      </c>
      <c r="E109" s="40">
        <v>1</v>
      </c>
      <c r="F109" s="40">
        <v>0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0</v>
      </c>
      <c r="N109" s="40">
        <v>0</v>
      </c>
      <c r="O109" s="40">
        <v>0</v>
      </c>
    </row>
    <row r="110" spans="1:15" x14ac:dyDescent="0.25">
      <c r="A110" s="38">
        <v>46229</v>
      </c>
      <c r="B110" s="39">
        <f t="shared" si="3"/>
        <v>46229</v>
      </c>
      <c r="C110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W16 (25/7 - 31/7)</v>
      </c>
      <c r="D110" s="40">
        <v>0</v>
      </c>
      <c r="E110" s="40">
        <v>1</v>
      </c>
      <c r="F110" s="40">
        <v>0</v>
      </c>
      <c r="G110" s="40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40">
        <v>0</v>
      </c>
      <c r="N110" s="40">
        <v>0</v>
      </c>
      <c r="O110" s="40">
        <v>0</v>
      </c>
    </row>
    <row r="111" spans="1:15" x14ac:dyDescent="0.25">
      <c r="A111" s="38">
        <v>46230</v>
      </c>
      <c r="B111" s="39">
        <f t="shared" si="3"/>
        <v>46230</v>
      </c>
      <c r="C111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W16 (25/7 - 31/7)</v>
      </c>
      <c r="D111" s="40">
        <v>1</v>
      </c>
      <c r="E111" s="40">
        <v>1</v>
      </c>
      <c r="F111" s="40">
        <v>0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40">
        <v>0</v>
      </c>
      <c r="N111" s="40">
        <v>0</v>
      </c>
      <c r="O111" s="40">
        <v>0</v>
      </c>
    </row>
    <row r="112" spans="1:15" x14ac:dyDescent="0.25">
      <c r="A112" s="38">
        <v>46231</v>
      </c>
      <c r="B112" s="39">
        <f t="shared" si="3"/>
        <v>46231</v>
      </c>
      <c r="C112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W16 (25/7 - 31/7)</v>
      </c>
      <c r="D112" s="40">
        <v>0</v>
      </c>
      <c r="E112" s="40">
        <v>1</v>
      </c>
      <c r="F112" s="40">
        <v>0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</row>
    <row r="113" spans="1:15" x14ac:dyDescent="0.25">
      <c r="A113" s="38">
        <v>46232</v>
      </c>
      <c r="B113" s="39">
        <f t="shared" si="3"/>
        <v>46232</v>
      </c>
      <c r="C113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W16 (25/7 - 31/7)</v>
      </c>
      <c r="D113" s="40">
        <v>1</v>
      </c>
      <c r="E113" s="40">
        <v>1</v>
      </c>
      <c r="F113" s="40">
        <v>0</v>
      </c>
      <c r="G113" s="40">
        <v>0</v>
      </c>
      <c r="H113" s="40">
        <v>0</v>
      </c>
      <c r="I113" s="40">
        <v>0</v>
      </c>
      <c r="J113" s="40">
        <v>1</v>
      </c>
      <c r="K113" s="40">
        <v>0</v>
      </c>
      <c r="L113" s="40">
        <v>0</v>
      </c>
      <c r="M113" s="40">
        <v>0</v>
      </c>
      <c r="N113" s="40">
        <v>0</v>
      </c>
      <c r="O113" s="40">
        <v>0</v>
      </c>
    </row>
    <row r="114" spans="1:15" x14ac:dyDescent="0.25">
      <c r="A114" s="38">
        <v>46233</v>
      </c>
      <c r="B114" s="39">
        <f t="shared" si="3"/>
        <v>46233</v>
      </c>
      <c r="C114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W16 (25/7 - 31/7)</v>
      </c>
      <c r="D114" s="40">
        <v>0</v>
      </c>
      <c r="E114" s="40">
        <v>1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M114" s="40">
        <v>0</v>
      </c>
      <c r="N114" s="40">
        <v>0</v>
      </c>
      <c r="O114" s="40">
        <v>0</v>
      </c>
    </row>
    <row r="115" spans="1:15" x14ac:dyDescent="0.25">
      <c r="A115" s="41">
        <v>46234</v>
      </c>
      <c r="B115" s="42">
        <f t="shared" si="3"/>
        <v>46234</v>
      </c>
      <c r="C115" s="43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W16 (25/7 - 31/7)</v>
      </c>
      <c r="D115" s="40">
        <v>1</v>
      </c>
      <c r="E115" s="40">
        <v>1</v>
      </c>
      <c r="F115" s="40">
        <v>0</v>
      </c>
      <c r="G115" s="40">
        <v>0</v>
      </c>
      <c r="H115" s="40">
        <v>0</v>
      </c>
      <c r="I115" s="40">
        <v>0</v>
      </c>
      <c r="J115" s="40">
        <v>0</v>
      </c>
      <c r="K115" s="40">
        <v>1</v>
      </c>
      <c r="L115" s="40">
        <v>0</v>
      </c>
      <c r="M115" s="40">
        <v>0</v>
      </c>
      <c r="N115" s="40">
        <v>0</v>
      </c>
      <c r="O115" s="40">
        <v>0</v>
      </c>
    </row>
    <row r="116" spans="1:15" x14ac:dyDescent="0.25">
      <c r="A116" s="38">
        <v>46235</v>
      </c>
      <c r="B116" s="39">
        <f t="shared" si="3"/>
        <v>46235</v>
      </c>
      <c r="C116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W17 (1/8 - 7/8)</v>
      </c>
      <c r="D116" s="40">
        <v>1</v>
      </c>
      <c r="E116" s="40">
        <v>1</v>
      </c>
      <c r="F116" s="40">
        <v>0</v>
      </c>
      <c r="G116" s="40">
        <v>0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  <c r="O116" s="40">
        <v>0</v>
      </c>
    </row>
    <row r="117" spans="1:15" x14ac:dyDescent="0.25">
      <c r="A117" s="38">
        <v>46236</v>
      </c>
      <c r="B117" s="39">
        <f t="shared" si="3"/>
        <v>46236</v>
      </c>
      <c r="C117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W17 (1/8 - 7/8)</v>
      </c>
      <c r="D117" s="40">
        <v>0</v>
      </c>
      <c r="E117" s="40">
        <v>1</v>
      </c>
      <c r="F117" s="40">
        <v>0</v>
      </c>
      <c r="G117" s="40">
        <v>0</v>
      </c>
      <c r="H117" s="40">
        <v>0</v>
      </c>
      <c r="I117" s="40">
        <v>0</v>
      </c>
      <c r="J117" s="40">
        <v>0</v>
      </c>
      <c r="K117" s="40">
        <v>0</v>
      </c>
      <c r="L117" s="40">
        <v>0</v>
      </c>
      <c r="M117" s="40">
        <v>0</v>
      </c>
      <c r="N117" s="40">
        <v>0</v>
      </c>
      <c r="O117" s="40">
        <v>0</v>
      </c>
    </row>
    <row r="118" spans="1:15" x14ac:dyDescent="0.25">
      <c r="A118" s="38">
        <v>46237</v>
      </c>
      <c r="B118" s="42">
        <f t="shared" si="3"/>
        <v>46237</v>
      </c>
      <c r="C118" s="43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W17 (1/8 - 7/8)</v>
      </c>
      <c r="D118" s="40">
        <v>1</v>
      </c>
      <c r="E118" s="40">
        <v>1</v>
      </c>
      <c r="F118" s="40">
        <v>0</v>
      </c>
      <c r="G118" s="40">
        <v>0</v>
      </c>
      <c r="H118" s="40">
        <v>0</v>
      </c>
      <c r="I118" s="40">
        <v>0</v>
      </c>
      <c r="J118" s="40">
        <v>0</v>
      </c>
      <c r="K118" s="40">
        <v>0</v>
      </c>
      <c r="L118" s="40">
        <v>0</v>
      </c>
      <c r="M118" s="40">
        <v>0</v>
      </c>
      <c r="N118" s="40">
        <v>0</v>
      </c>
      <c r="O118" s="40">
        <v>0</v>
      </c>
    </row>
    <row r="119" spans="1:15" x14ac:dyDescent="0.25">
      <c r="A119" s="38">
        <v>46238</v>
      </c>
      <c r="B119" s="39">
        <f t="shared" si="3"/>
        <v>46238</v>
      </c>
      <c r="C119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W17 (1/8 - 7/8)</v>
      </c>
      <c r="D119" s="40">
        <v>0</v>
      </c>
      <c r="E119" s="40">
        <v>1</v>
      </c>
      <c r="F119" s="40">
        <v>0</v>
      </c>
      <c r="G119" s="40">
        <v>0</v>
      </c>
      <c r="H119" s="40">
        <v>0</v>
      </c>
      <c r="I119" s="40">
        <v>0</v>
      </c>
      <c r="J119" s="40">
        <v>0</v>
      </c>
      <c r="K119" s="40">
        <v>0</v>
      </c>
      <c r="L119" s="40">
        <v>0</v>
      </c>
      <c r="M119" s="40">
        <v>0</v>
      </c>
      <c r="N119" s="40">
        <v>0</v>
      </c>
      <c r="O119" s="40">
        <v>0</v>
      </c>
    </row>
    <row r="120" spans="1:15" x14ac:dyDescent="0.25">
      <c r="A120" s="38">
        <v>46239</v>
      </c>
      <c r="B120" s="39">
        <f t="shared" si="3"/>
        <v>46239</v>
      </c>
      <c r="C120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W17 (1/8 - 7/8)</v>
      </c>
      <c r="D120" s="40">
        <v>1</v>
      </c>
      <c r="E120" s="40">
        <v>1</v>
      </c>
      <c r="F120" s="40">
        <v>0</v>
      </c>
      <c r="G120" s="40">
        <v>0</v>
      </c>
      <c r="H120" s="40">
        <v>0</v>
      </c>
      <c r="I120" s="40">
        <v>0</v>
      </c>
      <c r="J120" s="40">
        <v>1</v>
      </c>
      <c r="K120" s="40">
        <v>0</v>
      </c>
      <c r="L120" s="40">
        <v>0</v>
      </c>
      <c r="M120" s="40">
        <v>0</v>
      </c>
      <c r="N120" s="40">
        <v>0</v>
      </c>
      <c r="O120" s="40">
        <v>0</v>
      </c>
    </row>
    <row r="121" spans="1:15" x14ac:dyDescent="0.25">
      <c r="A121" s="41">
        <v>46240</v>
      </c>
      <c r="B121" s="39">
        <f t="shared" si="3"/>
        <v>46240</v>
      </c>
      <c r="C121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W17 (1/8 - 7/8)</v>
      </c>
      <c r="D121" s="40">
        <v>0</v>
      </c>
      <c r="E121" s="40">
        <v>1</v>
      </c>
      <c r="F121" s="40">
        <v>0</v>
      </c>
      <c r="G121" s="40">
        <v>0</v>
      </c>
      <c r="H121" s="40">
        <v>0</v>
      </c>
      <c r="I121" s="40">
        <v>0</v>
      </c>
      <c r="J121" s="40">
        <v>0</v>
      </c>
      <c r="K121" s="40">
        <v>0</v>
      </c>
      <c r="L121" s="40">
        <v>0</v>
      </c>
      <c r="M121" s="40">
        <v>0</v>
      </c>
      <c r="N121" s="40">
        <v>0</v>
      </c>
      <c r="O121" s="40">
        <v>0</v>
      </c>
    </row>
    <row r="122" spans="1:15" x14ac:dyDescent="0.25">
      <c r="A122" s="38">
        <v>46241</v>
      </c>
      <c r="B122" s="39">
        <f t="shared" si="3"/>
        <v>46241</v>
      </c>
      <c r="C122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W17 (1/8 - 7/8)</v>
      </c>
      <c r="D122" s="40">
        <v>0</v>
      </c>
      <c r="E122" s="40">
        <v>1</v>
      </c>
      <c r="F122" s="40">
        <v>0</v>
      </c>
      <c r="G122" s="40">
        <v>0</v>
      </c>
      <c r="H122" s="40">
        <v>0</v>
      </c>
      <c r="I122" s="40">
        <v>0</v>
      </c>
      <c r="J122" s="40">
        <v>0</v>
      </c>
      <c r="K122" s="40">
        <v>1</v>
      </c>
      <c r="L122" s="40">
        <v>0</v>
      </c>
      <c r="M122" s="40">
        <v>0</v>
      </c>
      <c r="N122" s="40">
        <v>0</v>
      </c>
      <c r="O122" s="40">
        <v>0</v>
      </c>
    </row>
    <row r="123" spans="1:15" x14ac:dyDescent="0.25">
      <c r="A123" s="38">
        <v>46242</v>
      </c>
      <c r="B123" s="39">
        <f t="shared" si="3"/>
        <v>46242</v>
      </c>
      <c r="C123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W18 (8/8 - 14/8)</v>
      </c>
      <c r="D123" s="40">
        <v>1</v>
      </c>
      <c r="E123" s="40">
        <v>1</v>
      </c>
      <c r="F123" s="40">
        <v>0</v>
      </c>
      <c r="G123" s="40">
        <v>0</v>
      </c>
      <c r="H123" s="40">
        <v>0</v>
      </c>
      <c r="I123" s="40">
        <v>0</v>
      </c>
      <c r="J123" s="40">
        <v>0</v>
      </c>
      <c r="K123" s="40">
        <v>0</v>
      </c>
      <c r="L123" s="40">
        <v>0</v>
      </c>
      <c r="M123" s="40">
        <v>0</v>
      </c>
      <c r="N123" s="40">
        <v>0</v>
      </c>
      <c r="O123" s="40">
        <v>0</v>
      </c>
    </row>
    <row r="124" spans="1:15" x14ac:dyDescent="0.25">
      <c r="A124" s="38">
        <v>46243</v>
      </c>
      <c r="B124" s="42">
        <f t="shared" si="3"/>
        <v>46243</v>
      </c>
      <c r="C124" s="43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W18 (8/8 - 14/8)</v>
      </c>
      <c r="D124" s="40">
        <v>0</v>
      </c>
      <c r="E124" s="40">
        <v>1</v>
      </c>
      <c r="F124" s="40">
        <v>0</v>
      </c>
      <c r="G124" s="40">
        <v>0</v>
      </c>
      <c r="H124" s="40">
        <v>0</v>
      </c>
      <c r="I124" s="40">
        <v>0</v>
      </c>
      <c r="J124" s="40">
        <v>0</v>
      </c>
      <c r="K124" s="40">
        <v>0</v>
      </c>
      <c r="L124" s="40">
        <v>0</v>
      </c>
      <c r="M124" s="40">
        <v>0</v>
      </c>
      <c r="N124" s="40">
        <v>0</v>
      </c>
      <c r="O124" s="40">
        <v>0</v>
      </c>
    </row>
    <row r="125" spans="1:15" x14ac:dyDescent="0.25">
      <c r="A125" s="38">
        <v>46244</v>
      </c>
      <c r="B125" s="39">
        <f t="shared" si="3"/>
        <v>46244</v>
      </c>
      <c r="C125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W18 (8/8 - 14/8)</v>
      </c>
      <c r="D125" s="40">
        <v>1</v>
      </c>
      <c r="E125" s="40">
        <v>1</v>
      </c>
      <c r="F125" s="40">
        <v>0</v>
      </c>
      <c r="G125" s="40">
        <v>0</v>
      </c>
      <c r="H125" s="40">
        <v>0</v>
      </c>
      <c r="I125" s="40">
        <v>0</v>
      </c>
      <c r="J125" s="40">
        <v>0</v>
      </c>
      <c r="K125" s="40">
        <v>0</v>
      </c>
      <c r="L125" s="40">
        <v>0</v>
      </c>
      <c r="M125" s="40">
        <v>0</v>
      </c>
      <c r="N125" s="40">
        <v>0</v>
      </c>
      <c r="O125" s="40">
        <v>0</v>
      </c>
    </row>
    <row r="126" spans="1:15" x14ac:dyDescent="0.25">
      <c r="A126" s="38">
        <v>46245</v>
      </c>
      <c r="B126" s="39">
        <f t="shared" si="3"/>
        <v>46245</v>
      </c>
      <c r="C126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W18 (8/8 - 14/8)</v>
      </c>
      <c r="D126" s="40">
        <v>0</v>
      </c>
      <c r="E126" s="40">
        <v>1</v>
      </c>
      <c r="F126" s="40">
        <v>0</v>
      </c>
      <c r="G126" s="40">
        <v>0</v>
      </c>
      <c r="H126" s="40">
        <v>0</v>
      </c>
      <c r="I126" s="40">
        <v>0</v>
      </c>
      <c r="J126" s="40">
        <v>0</v>
      </c>
      <c r="K126" s="40">
        <v>0</v>
      </c>
      <c r="L126" s="40">
        <v>0</v>
      </c>
      <c r="M126" s="40">
        <v>0</v>
      </c>
      <c r="N126" s="40">
        <v>0</v>
      </c>
      <c r="O126" s="40">
        <v>0</v>
      </c>
    </row>
    <row r="127" spans="1:15" x14ac:dyDescent="0.25">
      <c r="A127" s="38">
        <v>46246</v>
      </c>
      <c r="B127" s="39">
        <f t="shared" si="3"/>
        <v>46246</v>
      </c>
      <c r="C127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W18 (8/8 - 14/8)</v>
      </c>
      <c r="D127" s="40">
        <v>0</v>
      </c>
      <c r="E127" s="40">
        <v>1</v>
      </c>
      <c r="F127" s="40">
        <v>0</v>
      </c>
      <c r="G127" s="40">
        <v>0</v>
      </c>
      <c r="H127" s="40">
        <v>0</v>
      </c>
      <c r="I127" s="40">
        <v>0</v>
      </c>
      <c r="J127" s="40">
        <v>1</v>
      </c>
      <c r="K127" s="40">
        <v>0</v>
      </c>
      <c r="L127" s="40">
        <v>0</v>
      </c>
      <c r="M127" s="40">
        <v>0</v>
      </c>
      <c r="N127" s="40">
        <v>0</v>
      </c>
      <c r="O127" s="40">
        <v>0</v>
      </c>
    </row>
    <row r="128" spans="1:15" x14ac:dyDescent="0.25">
      <c r="A128" s="38">
        <v>46247</v>
      </c>
      <c r="B128" s="39">
        <f t="shared" si="3"/>
        <v>46247</v>
      </c>
      <c r="C128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W18 (8/8 - 14/8)</v>
      </c>
      <c r="D128" s="40">
        <v>0</v>
      </c>
      <c r="E128" s="40">
        <v>1</v>
      </c>
      <c r="F128" s="40">
        <v>0</v>
      </c>
      <c r="G128" s="40">
        <v>0</v>
      </c>
      <c r="H128" s="40">
        <v>0</v>
      </c>
      <c r="I128" s="40">
        <v>0</v>
      </c>
      <c r="J128" s="40">
        <v>0</v>
      </c>
      <c r="K128" s="40">
        <v>0</v>
      </c>
      <c r="L128" s="40">
        <v>0</v>
      </c>
      <c r="M128" s="40">
        <v>0</v>
      </c>
      <c r="N128" s="40">
        <v>0</v>
      </c>
      <c r="O128" s="40">
        <v>0</v>
      </c>
    </row>
    <row r="129" spans="1:15" x14ac:dyDescent="0.25">
      <c r="A129" s="38">
        <v>46248</v>
      </c>
      <c r="B129" s="39">
        <f t="shared" si="3"/>
        <v>46248</v>
      </c>
      <c r="C129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W18 (8/8 - 14/8)</v>
      </c>
      <c r="D129" s="40">
        <v>1</v>
      </c>
      <c r="E129" s="40">
        <v>1</v>
      </c>
      <c r="F129" s="40">
        <v>0</v>
      </c>
      <c r="G129" s="40">
        <v>0</v>
      </c>
      <c r="H129" s="40">
        <v>0</v>
      </c>
      <c r="I129" s="40">
        <v>0</v>
      </c>
      <c r="J129" s="40">
        <v>0</v>
      </c>
      <c r="K129" s="40">
        <v>1</v>
      </c>
      <c r="L129" s="40">
        <v>0</v>
      </c>
      <c r="M129" s="40">
        <v>0</v>
      </c>
      <c r="N129" s="40">
        <v>0</v>
      </c>
      <c r="O129" s="40">
        <v>0</v>
      </c>
    </row>
    <row r="130" spans="1:15" x14ac:dyDescent="0.25">
      <c r="A130" s="38">
        <v>46249</v>
      </c>
      <c r="B130" s="39">
        <f t="shared" si="3"/>
        <v>46249</v>
      </c>
      <c r="C130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W19 (15/8 - 21/8)</v>
      </c>
      <c r="D130" s="40">
        <v>0</v>
      </c>
      <c r="E130" s="40">
        <v>1</v>
      </c>
      <c r="F130" s="40">
        <v>0</v>
      </c>
      <c r="G130" s="40">
        <v>0</v>
      </c>
      <c r="H130" s="40">
        <v>0</v>
      </c>
      <c r="I130" s="40">
        <v>0</v>
      </c>
      <c r="J130" s="40">
        <v>0</v>
      </c>
      <c r="K130" s="40">
        <v>0</v>
      </c>
      <c r="L130" s="40">
        <v>0</v>
      </c>
      <c r="M130" s="40">
        <v>0</v>
      </c>
      <c r="N130" s="40">
        <v>0</v>
      </c>
      <c r="O130" s="40">
        <v>0</v>
      </c>
    </row>
    <row r="131" spans="1:15" x14ac:dyDescent="0.25">
      <c r="A131" s="38">
        <v>46250</v>
      </c>
      <c r="B131" s="39">
        <f t="shared" si="3"/>
        <v>46250</v>
      </c>
      <c r="C131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W19 (15/8 - 21/8)</v>
      </c>
      <c r="D131" s="40">
        <v>0</v>
      </c>
      <c r="E131" s="40">
        <v>1</v>
      </c>
      <c r="F131" s="40">
        <v>0</v>
      </c>
      <c r="G131" s="40">
        <v>0</v>
      </c>
      <c r="H131" s="40">
        <v>0</v>
      </c>
      <c r="I131" s="40">
        <v>0</v>
      </c>
      <c r="J131" s="40">
        <v>0</v>
      </c>
      <c r="K131" s="40">
        <v>0</v>
      </c>
      <c r="L131" s="40">
        <v>0</v>
      </c>
      <c r="M131" s="40">
        <v>0</v>
      </c>
      <c r="N131" s="40">
        <v>0</v>
      </c>
      <c r="O131" s="40">
        <v>0</v>
      </c>
    </row>
    <row r="132" spans="1:15" x14ac:dyDescent="0.25">
      <c r="A132" s="38">
        <v>46251</v>
      </c>
      <c r="B132" s="39">
        <f t="shared" si="3"/>
        <v>46251</v>
      </c>
      <c r="C132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W19 (15/8 - 21/8)</v>
      </c>
      <c r="D132" s="40">
        <v>0</v>
      </c>
      <c r="E132" s="40">
        <v>1</v>
      </c>
      <c r="F132" s="40">
        <v>0</v>
      </c>
      <c r="G132" s="40">
        <v>0</v>
      </c>
      <c r="H132" s="40">
        <v>0</v>
      </c>
      <c r="I132" s="40">
        <v>0</v>
      </c>
      <c r="J132" s="40">
        <v>0</v>
      </c>
      <c r="K132" s="40">
        <v>0</v>
      </c>
      <c r="L132" s="40">
        <v>0</v>
      </c>
      <c r="M132" s="40">
        <v>0</v>
      </c>
      <c r="N132" s="40">
        <v>0</v>
      </c>
      <c r="O132" s="40">
        <v>0</v>
      </c>
    </row>
    <row r="133" spans="1:15" x14ac:dyDescent="0.25">
      <c r="A133" s="38">
        <v>46252</v>
      </c>
      <c r="B133" s="39">
        <f t="shared" si="3"/>
        <v>46252</v>
      </c>
      <c r="C133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W19 (15/8 - 21/8)</v>
      </c>
      <c r="D133" s="40">
        <v>0</v>
      </c>
      <c r="E133" s="40">
        <v>1</v>
      </c>
      <c r="F133" s="40">
        <v>0</v>
      </c>
      <c r="G133" s="40">
        <v>0</v>
      </c>
      <c r="H133" s="40">
        <v>0</v>
      </c>
      <c r="I133" s="40">
        <v>0</v>
      </c>
      <c r="J133" s="40">
        <v>0</v>
      </c>
      <c r="K133" s="40">
        <v>0</v>
      </c>
      <c r="L133" s="40">
        <v>0</v>
      </c>
      <c r="M133" s="40">
        <v>0</v>
      </c>
      <c r="N133" s="40">
        <v>0</v>
      </c>
      <c r="O133" s="40">
        <v>0</v>
      </c>
    </row>
    <row r="134" spans="1:15" x14ac:dyDescent="0.25">
      <c r="A134" s="38">
        <v>46253</v>
      </c>
      <c r="B134" s="39">
        <f t="shared" ref="B134:B165" si="4">A134</f>
        <v>46253</v>
      </c>
      <c r="C134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W19 (15/8 - 21/8)</v>
      </c>
      <c r="D134" s="40">
        <v>1</v>
      </c>
      <c r="E134" s="40">
        <v>1</v>
      </c>
      <c r="F134" s="40">
        <v>0</v>
      </c>
      <c r="G134" s="40">
        <v>0</v>
      </c>
      <c r="H134" s="40">
        <v>0</v>
      </c>
      <c r="I134" s="40">
        <v>0</v>
      </c>
      <c r="J134" s="40">
        <v>1</v>
      </c>
      <c r="K134" s="40">
        <v>0</v>
      </c>
      <c r="L134" s="40">
        <v>0</v>
      </c>
      <c r="M134" s="40">
        <v>0</v>
      </c>
      <c r="N134" s="40">
        <v>0</v>
      </c>
      <c r="O134" s="40">
        <v>0</v>
      </c>
    </row>
    <row r="135" spans="1:15" x14ac:dyDescent="0.25">
      <c r="A135" s="38">
        <v>46254</v>
      </c>
      <c r="B135" s="39">
        <f t="shared" si="4"/>
        <v>46254</v>
      </c>
      <c r="C135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W19 (15/8 - 21/8)</v>
      </c>
      <c r="D135" s="40">
        <v>1</v>
      </c>
      <c r="E135" s="40">
        <v>1</v>
      </c>
      <c r="F135" s="40">
        <v>0</v>
      </c>
      <c r="G135" s="40">
        <v>0</v>
      </c>
      <c r="H135" s="40">
        <v>0</v>
      </c>
      <c r="I135" s="40">
        <v>0</v>
      </c>
      <c r="J135" s="40">
        <v>0</v>
      </c>
      <c r="K135" s="40">
        <v>0</v>
      </c>
      <c r="L135" s="40">
        <v>0</v>
      </c>
      <c r="M135" s="40">
        <v>0</v>
      </c>
      <c r="N135" s="40">
        <v>0</v>
      </c>
      <c r="O135" s="40">
        <v>0</v>
      </c>
    </row>
    <row r="136" spans="1:15" x14ac:dyDescent="0.25">
      <c r="A136" s="38">
        <v>46255</v>
      </c>
      <c r="B136" s="39">
        <f t="shared" si="4"/>
        <v>46255</v>
      </c>
      <c r="C136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W19 (15/8 - 21/8)</v>
      </c>
      <c r="D136" s="40">
        <v>1</v>
      </c>
      <c r="E136" s="40">
        <v>1</v>
      </c>
      <c r="F136" s="40">
        <v>0</v>
      </c>
      <c r="G136" s="40">
        <v>0</v>
      </c>
      <c r="H136" s="40">
        <v>0</v>
      </c>
      <c r="I136" s="40">
        <v>0</v>
      </c>
      <c r="J136" s="40">
        <v>0</v>
      </c>
      <c r="K136" s="40">
        <v>1</v>
      </c>
      <c r="L136" s="40">
        <v>0</v>
      </c>
      <c r="M136" s="40">
        <v>0</v>
      </c>
      <c r="N136" s="40">
        <v>0</v>
      </c>
      <c r="O136" s="40">
        <v>0</v>
      </c>
    </row>
    <row r="137" spans="1:15" x14ac:dyDescent="0.25">
      <c r="A137" s="38">
        <v>46256</v>
      </c>
      <c r="B137" s="39">
        <f t="shared" si="4"/>
        <v>46256</v>
      </c>
      <c r="C137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W20 (22/8 - 28/8)</v>
      </c>
      <c r="D137" s="40">
        <v>0</v>
      </c>
      <c r="E137" s="40">
        <v>1</v>
      </c>
      <c r="F137" s="40">
        <v>0</v>
      </c>
      <c r="G137" s="40">
        <v>0</v>
      </c>
      <c r="H137" s="40">
        <v>0</v>
      </c>
      <c r="I137" s="40">
        <v>0</v>
      </c>
      <c r="J137" s="40">
        <v>0</v>
      </c>
      <c r="K137" s="40">
        <v>0</v>
      </c>
      <c r="L137" s="40">
        <v>0</v>
      </c>
      <c r="M137" s="40">
        <v>0</v>
      </c>
      <c r="N137" s="40">
        <v>0</v>
      </c>
      <c r="O137" s="40">
        <v>0</v>
      </c>
    </row>
    <row r="138" spans="1:15" x14ac:dyDescent="0.25">
      <c r="A138" s="38">
        <v>46257</v>
      </c>
      <c r="B138" s="39">
        <f t="shared" si="4"/>
        <v>46257</v>
      </c>
      <c r="C138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W20 (22/8 - 28/8)</v>
      </c>
      <c r="D138" s="40">
        <v>0</v>
      </c>
      <c r="E138" s="40">
        <v>1</v>
      </c>
      <c r="F138" s="40">
        <v>0</v>
      </c>
      <c r="G138" s="40">
        <v>0</v>
      </c>
      <c r="H138" s="40">
        <v>0</v>
      </c>
      <c r="I138" s="40">
        <v>0</v>
      </c>
      <c r="J138" s="40">
        <v>0</v>
      </c>
      <c r="K138" s="40">
        <v>0</v>
      </c>
      <c r="L138" s="40">
        <v>3</v>
      </c>
      <c r="M138" s="40">
        <v>0</v>
      </c>
      <c r="N138" s="40">
        <v>0</v>
      </c>
      <c r="O138" s="40">
        <v>0</v>
      </c>
    </row>
    <row r="139" spans="1:15" x14ac:dyDescent="0.25">
      <c r="A139" s="38">
        <v>46258</v>
      </c>
      <c r="B139" s="39">
        <f t="shared" si="4"/>
        <v>46258</v>
      </c>
      <c r="C139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W20 (22/8 - 28/8)</v>
      </c>
      <c r="D139" s="40">
        <v>1</v>
      </c>
      <c r="E139" s="40">
        <v>1</v>
      </c>
      <c r="F139" s="40">
        <v>0</v>
      </c>
      <c r="G139" s="40">
        <v>0</v>
      </c>
      <c r="H139" s="40">
        <v>0</v>
      </c>
      <c r="I139" s="40">
        <v>0</v>
      </c>
      <c r="J139" s="40">
        <v>0</v>
      </c>
      <c r="K139" s="40">
        <v>0</v>
      </c>
      <c r="L139" s="40">
        <v>14</v>
      </c>
      <c r="M139" s="40">
        <v>0</v>
      </c>
      <c r="N139" s="40">
        <v>0</v>
      </c>
      <c r="O139" s="40">
        <v>0</v>
      </c>
    </row>
    <row r="140" spans="1:15" x14ac:dyDescent="0.25">
      <c r="A140" s="38">
        <v>46259</v>
      </c>
      <c r="B140" s="42">
        <f t="shared" si="4"/>
        <v>46259</v>
      </c>
      <c r="C140" s="43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W20 (22/8 - 28/8)</v>
      </c>
      <c r="D140" s="40">
        <v>0</v>
      </c>
      <c r="E140" s="40">
        <v>1</v>
      </c>
      <c r="F140" s="40">
        <v>0</v>
      </c>
      <c r="G140" s="40">
        <v>0</v>
      </c>
      <c r="H140" s="40">
        <v>0</v>
      </c>
      <c r="I140" s="40">
        <v>0</v>
      </c>
      <c r="J140" s="40">
        <v>0</v>
      </c>
      <c r="K140" s="40">
        <v>0</v>
      </c>
      <c r="L140" s="40">
        <v>14</v>
      </c>
      <c r="M140" s="40">
        <v>0</v>
      </c>
      <c r="N140" s="40">
        <v>0</v>
      </c>
      <c r="O140" s="40">
        <v>0</v>
      </c>
    </row>
    <row r="141" spans="1:15" x14ac:dyDescent="0.25">
      <c r="A141" s="38">
        <v>46260</v>
      </c>
      <c r="B141" s="39">
        <f t="shared" si="4"/>
        <v>46260</v>
      </c>
      <c r="C141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W20 (22/8 - 28/8)</v>
      </c>
      <c r="D141" s="40">
        <v>1</v>
      </c>
      <c r="E141" s="40">
        <v>1</v>
      </c>
      <c r="F141" s="40">
        <v>0</v>
      </c>
      <c r="G141" s="40">
        <v>0</v>
      </c>
      <c r="H141" s="40">
        <v>0</v>
      </c>
      <c r="I141" s="40">
        <v>0</v>
      </c>
      <c r="J141" s="40">
        <v>1</v>
      </c>
      <c r="K141" s="40">
        <v>0</v>
      </c>
      <c r="L141" s="40">
        <v>6</v>
      </c>
      <c r="M141" s="40">
        <v>0</v>
      </c>
      <c r="N141" s="40">
        <v>0</v>
      </c>
      <c r="O141" s="40">
        <v>0</v>
      </c>
    </row>
    <row r="142" spans="1:15" x14ac:dyDescent="0.25">
      <c r="A142" s="38">
        <v>46261</v>
      </c>
      <c r="B142" s="39">
        <f t="shared" si="4"/>
        <v>46261</v>
      </c>
      <c r="C142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W20 (22/8 - 28/8)</v>
      </c>
      <c r="D142" s="40">
        <v>1</v>
      </c>
      <c r="E142" s="40">
        <v>1</v>
      </c>
      <c r="F142" s="40">
        <v>0</v>
      </c>
      <c r="G142" s="40">
        <v>1</v>
      </c>
      <c r="H142" s="40">
        <v>0</v>
      </c>
      <c r="I142" s="40">
        <v>0</v>
      </c>
      <c r="J142" s="40">
        <v>0</v>
      </c>
      <c r="K142" s="40">
        <v>0</v>
      </c>
      <c r="L142" s="40">
        <v>4</v>
      </c>
      <c r="M142" s="40">
        <v>1</v>
      </c>
      <c r="N142" s="40">
        <v>2</v>
      </c>
      <c r="O142" s="40">
        <v>0</v>
      </c>
    </row>
    <row r="143" spans="1:15" x14ac:dyDescent="0.25">
      <c r="A143" s="38">
        <v>46262</v>
      </c>
      <c r="B143" s="39">
        <f t="shared" si="4"/>
        <v>46262</v>
      </c>
      <c r="C143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W20 (22/8 - 28/8)</v>
      </c>
      <c r="D143" s="40">
        <v>1</v>
      </c>
      <c r="E143" s="40">
        <v>1</v>
      </c>
      <c r="F143" s="40">
        <v>0</v>
      </c>
      <c r="G143" s="40">
        <v>0</v>
      </c>
      <c r="H143" s="40">
        <v>0</v>
      </c>
      <c r="I143" s="40">
        <v>0</v>
      </c>
      <c r="J143" s="40">
        <v>0</v>
      </c>
      <c r="K143" s="40">
        <v>1</v>
      </c>
      <c r="L143" s="40">
        <v>1</v>
      </c>
      <c r="M143" s="40">
        <v>0</v>
      </c>
      <c r="N143" s="40">
        <v>0</v>
      </c>
      <c r="O143" s="40">
        <v>0</v>
      </c>
    </row>
    <row r="144" spans="1:15" x14ac:dyDescent="0.25">
      <c r="A144" s="38">
        <v>46263</v>
      </c>
      <c r="B144" s="39">
        <f t="shared" si="4"/>
        <v>46263</v>
      </c>
      <c r="C144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W21 (29/8 - 4/9)</v>
      </c>
      <c r="D144" s="40">
        <v>0</v>
      </c>
      <c r="E144" s="40">
        <v>1</v>
      </c>
      <c r="F144" s="40">
        <v>0</v>
      </c>
      <c r="G144" s="40">
        <v>0</v>
      </c>
      <c r="H144" s="40">
        <v>0</v>
      </c>
      <c r="I144" s="40">
        <v>0</v>
      </c>
      <c r="J144" s="40">
        <v>0</v>
      </c>
      <c r="K144" s="40">
        <v>0</v>
      </c>
      <c r="L144" s="40">
        <v>0</v>
      </c>
      <c r="M144" s="40">
        <v>0</v>
      </c>
      <c r="N144" s="40">
        <v>0</v>
      </c>
      <c r="O144" s="40">
        <v>0</v>
      </c>
    </row>
    <row r="145" spans="1:15" x14ac:dyDescent="0.25">
      <c r="A145" s="38">
        <v>46264</v>
      </c>
      <c r="B145" s="42">
        <f t="shared" si="4"/>
        <v>46264</v>
      </c>
      <c r="C145" s="43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W21 (29/8 - 4/9)</v>
      </c>
      <c r="D145" s="40">
        <v>0</v>
      </c>
      <c r="E145" s="40">
        <v>1</v>
      </c>
      <c r="F145" s="40">
        <v>0</v>
      </c>
      <c r="G145" s="40">
        <v>0</v>
      </c>
      <c r="H145" s="40">
        <v>0</v>
      </c>
      <c r="I145" s="40">
        <v>0</v>
      </c>
      <c r="J145" s="40">
        <v>0</v>
      </c>
      <c r="K145" s="40">
        <v>0</v>
      </c>
      <c r="L145" s="40">
        <v>0</v>
      </c>
      <c r="M145" s="40">
        <v>0</v>
      </c>
      <c r="N145" s="40">
        <v>0</v>
      </c>
      <c r="O145" s="40">
        <v>0</v>
      </c>
    </row>
    <row r="146" spans="1:15" x14ac:dyDescent="0.25">
      <c r="A146" s="38">
        <v>46265</v>
      </c>
      <c r="B146" s="39">
        <f t="shared" si="4"/>
        <v>46265</v>
      </c>
      <c r="C146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W21 (29/8 - 4/9)</v>
      </c>
      <c r="D146" s="40">
        <v>0</v>
      </c>
      <c r="E146" s="40">
        <v>0</v>
      </c>
      <c r="F146" s="40">
        <v>0</v>
      </c>
      <c r="G146" s="40">
        <v>0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40">
        <v>0</v>
      </c>
      <c r="N146" s="40">
        <v>0</v>
      </c>
      <c r="O146" s="40">
        <v>0</v>
      </c>
    </row>
    <row r="147" spans="1:15" x14ac:dyDescent="0.25">
      <c r="A147" s="38">
        <v>46266</v>
      </c>
      <c r="B147" s="39">
        <f t="shared" si="4"/>
        <v>46266</v>
      </c>
      <c r="C147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W21 (29/8 - 4/9)</v>
      </c>
      <c r="D147" s="40">
        <v>1</v>
      </c>
      <c r="E147" s="40">
        <v>1</v>
      </c>
      <c r="F147" s="40">
        <v>0</v>
      </c>
      <c r="G147" s="40">
        <v>0</v>
      </c>
      <c r="H147" s="40">
        <v>0</v>
      </c>
      <c r="I147" s="40">
        <v>0</v>
      </c>
      <c r="J147" s="40">
        <v>0</v>
      </c>
      <c r="K147" s="40">
        <v>0</v>
      </c>
      <c r="L147" s="40">
        <v>0</v>
      </c>
      <c r="M147" s="40">
        <v>0</v>
      </c>
      <c r="N147" s="40">
        <v>0</v>
      </c>
      <c r="O147" s="40">
        <v>0</v>
      </c>
    </row>
    <row r="148" spans="1:15" x14ac:dyDescent="0.25">
      <c r="A148" s="38">
        <v>46267</v>
      </c>
      <c r="B148" s="39">
        <f t="shared" si="4"/>
        <v>46267</v>
      </c>
      <c r="C148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W21 (29/8 - 4/9)</v>
      </c>
      <c r="D148" s="40">
        <v>1</v>
      </c>
      <c r="E148" s="40">
        <v>1</v>
      </c>
      <c r="F148" s="40">
        <v>0</v>
      </c>
      <c r="G148" s="40">
        <v>0</v>
      </c>
      <c r="H148" s="40">
        <v>0</v>
      </c>
      <c r="I148" s="40">
        <v>0</v>
      </c>
      <c r="J148" s="40">
        <v>1</v>
      </c>
      <c r="K148" s="40">
        <v>0</v>
      </c>
      <c r="L148" s="40">
        <v>1</v>
      </c>
      <c r="M148" s="40">
        <v>0</v>
      </c>
      <c r="N148" s="40">
        <v>0</v>
      </c>
      <c r="O148" s="40">
        <v>0</v>
      </c>
    </row>
    <row r="149" spans="1:15" x14ac:dyDescent="0.25">
      <c r="A149" s="38">
        <v>46268</v>
      </c>
      <c r="B149" s="39">
        <f t="shared" si="4"/>
        <v>46268</v>
      </c>
      <c r="C149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W21 (29/8 - 4/9)</v>
      </c>
      <c r="D149" s="40">
        <v>0</v>
      </c>
      <c r="E149" s="40">
        <v>1</v>
      </c>
      <c r="F149" s="40">
        <v>0</v>
      </c>
      <c r="G149" s="40">
        <v>0</v>
      </c>
      <c r="H149" s="40">
        <v>0</v>
      </c>
      <c r="I149" s="40">
        <v>0</v>
      </c>
      <c r="J149" s="40">
        <v>0</v>
      </c>
      <c r="K149" s="40">
        <v>0</v>
      </c>
      <c r="L149" s="40">
        <v>0</v>
      </c>
      <c r="M149" s="40">
        <v>0</v>
      </c>
      <c r="N149" s="40">
        <v>0</v>
      </c>
      <c r="O149" s="40">
        <v>0</v>
      </c>
    </row>
    <row r="150" spans="1:15" x14ac:dyDescent="0.25">
      <c r="A150" s="38">
        <v>46269</v>
      </c>
      <c r="B150" s="39">
        <f t="shared" si="4"/>
        <v>46269</v>
      </c>
      <c r="C150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W21 (29/8 - 4/9)</v>
      </c>
      <c r="D150" s="40">
        <v>0</v>
      </c>
      <c r="E150" s="40">
        <v>1</v>
      </c>
      <c r="F150" s="40">
        <v>0</v>
      </c>
      <c r="G150" s="40">
        <v>0</v>
      </c>
      <c r="H150" s="40">
        <v>0</v>
      </c>
      <c r="I150" s="40">
        <v>0</v>
      </c>
      <c r="J150" s="40">
        <v>0</v>
      </c>
      <c r="K150" s="40">
        <v>1</v>
      </c>
      <c r="L150" s="40">
        <v>6</v>
      </c>
      <c r="M150" s="40">
        <v>0</v>
      </c>
      <c r="N150" s="40">
        <v>0</v>
      </c>
      <c r="O150" s="40">
        <v>0</v>
      </c>
    </row>
    <row r="151" spans="1:15" x14ac:dyDescent="0.25">
      <c r="A151" s="38">
        <v>46270</v>
      </c>
      <c r="B151" s="39">
        <f t="shared" si="4"/>
        <v>46270</v>
      </c>
      <c r="C151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W22 (5/9 - 11/9)</v>
      </c>
      <c r="D151" s="40">
        <v>0</v>
      </c>
      <c r="E151" s="40">
        <v>1</v>
      </c>
      <c r="F151" s="40">
        <v>0</v>
      </c>
      <c r="G151" s="40">
        <v>0</v>
      </c>
      <c r="H151" s="40">
        <v>0</v>
      </c>
      <c r="I151" s="40">
        <v>0</v>
      </c>
      <c r="J151" s="40">
        <v>0</v>
      </c>
      <c r="K151" s="40">
        <v>0</v>
      </c>
      <c r="L151" s="40">
        <v>0</v>
      </c>
      <c r="M151" s="40">
        <v>0</v>
      </c>
      <c r="N151" s="40">
        <v>0</v>
      </c>
      <c r="O151" s="40">
        <v>0</v>
      </c>
    </row>
    <row r="152" spans="1:15" x14ac:dyDescent="0.25">
      <c r="A152" s="38">
        <v>46271</v>
      </c>
      <c r="B152" s="39">
        <f t="shared" si="4"/>
        <v>46271</v>
      </c>
      <c r="C152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W22 (5/9 - 11/9)</v>
      </c>
      <c r="D152" s="40">
        <v>0</v>
      </c>
      <c r="E152" s="40">
        <v>1</v>
      </c>
      <c r="F152" s="40">
        <v>0</v>
      </c>
      <c r="G152" s="40">
        <v>0</v>
      </c>
      <c r="H152" s="40">
        <v>0</v>
      </c>
      <c r="I152" s="40">
        <v>0</v>
      </c>
      <c r="J152" s="40">
        <v>0</v>
      </c>
      <c r="K152" s="40">
        <v>0</v>
      </c>
      <c r="L152" s="40">
        <v>0</v>
      </c>
      <c r="M152" s="40">
        <v>0</v>
      </c>
      <c r="N152" s="40">
        <v>0</v>
      </c>
      <c r="O152" s="40">
        <v>0</v>
      </c>
    </row>
    <row r="153" spans="1:15" x14ac:dyDescent="0.25">
      <c r="A153" s="38">
        <v>46272</v>
      </c>
      <c r="B153" s="39">
        <f t="shared" si="4"/>
        <v>46272</v>
      </c>
      <c r="C153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W22 (5/9 - 11/9)</v>
      </c>
      <c r="D153" s="40">
        <v>1</v>
      </c>
      <c r="E153" s="40">
        <v>1</v>
      </c>
      <c r="F153" s="40">
        <v>0</v>
      </c>
      <c r="G153" s="40">
        <v>0</v>
      </c>
      <c r="H153" s="40">
        <v>0</v>
      </c>
      <c r="I153" s="40">
        <v>0</v>
      </c>
      <c r="J153" s="40">
        <v>0</v>
      </c>
      <c r="K153" s="40">
        <v>0</v>
      </c>
      <c r="L153" s="40">
        <v>3</v>
      </c>
      <c r="M153" s="40">
        <v>0</v>
      </c>
      <c r="N153" s="40">
        <v>0</v>
      </c>
      <c r="O153" s="40">
        <v>0</v>
      </c>
    </row>
    <row r="154" spans="1:15" x14ac:dyDescent="0.25">
      <c r="A154" s="38">
        <v>46273</v>
      </c>
      <c r="B154" s="39">
        <f t="shared" si="4"/>
        <v>46273</v>
      </c>
      <c r="C154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W22 (5/9 - 11/9)</v>
      </c>
      <c r="D154" s="40">
        <v>0</v>
      </c>
      <c r="E154" s="40">
        <v>1</v>
      </c>
      <c r="F154" s="40">
        <v>0</v>
      </c>
      <c r="G154" s="40">
        <v>0</v>
      </c>
      <c r="H154" s="40">
        <v>0</v>
      </c>
      <c r="I154" s="40">
        <v>0</v>
      </c>
      <c r="J154" s="40">
        <v>0</v>
      </c>
      <c r="K154" s="40">
        <v>0</v>
      </c>
      <c r="L154" s="40">
        <v>10</v>
      </c>
      <c r="M154" s="40">
        <v>0</v>
      </c>
      <c r="N154" s="40">
        <v>0</v>
      </c>
      <c r="O154" s="40">
        <v>0</v>
      </c>
    </row>
    <row r="155" spans="1:15" x14ac:dyDescent="0.25">
      <c r="A155" s="38">
        <v>46274</v>
      </c>
      <c r="B155" s="39">
        <f t="shared" si="4"/>
        <v>46274</v>
      </c>
      <c r="C155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W22 (5/9 - 11/9)</v>
      </c>
      <c r="D155" s="40">
        <v>1</v>
      </c>
      <c r="E155" s="40">
        <v>1</v>
      </c>
      <c r="F155" s="40">
        <v>0</v>
      </c>
      <c r="G155" s="40">
        <v>0</v>
      </c>
      <c r="H155" s="40">
        <v>0</v>
      </c>
      <c r="I155" s="40">
        <v>0</v>
      </c>
      <c r="J155" s="40">
        <v>1</v>
      </c>
      <c r="K155" s="40">
        <v>0</v>
      </c>
      <c r="L155" s="40">
        <v>5</v>
      </c>
      <c r="M155" s="40">
        <v>0</v>
      </c>
      <c r="N155" s="40">
        <v>0</v>
      </c>
      <c r="O155" s="40">
        <v>0</v>
      </c>
    </row>
    <row r="156" spans="1:15" x14ac:dyDescent="0.25">
      <c r="A156" s="38">
        <v>46275</v>
      </c>
      <c r="B156" s="39">
        <f t="shared" si="4"/>
        <v>46275</v>
      </c>
      <c r="C156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W22 (5/9 - 11/9)</v>
      </c>
      <c r="D156" s="40">
        <v>0</v>
      </c>
      <c r="E156" s="40">
        <v>1</v>
      </c>
      <c r="F156" s="40">
        <v>0</v>
      </c>
      <c r="G156" s="40">
        <v>0</v>
      </c>
      <c r="H156" s="40">
        <v>0</v>
      </c>
      <c r="I156" s="40">
        <v>0</v>
      </c>
      <c r="J156" s="40">
        <v>0</v>
      </c>
      <c r="K156" s="40">
        <v>0</v>
      </c>
      <c r="L156" s="40">
        <v>1</v>
      </c>
      <c r="M156" s="40">
        <v>0</v>
      </c>
      <c r="N156" s="40">
        <v>0</v>
      </c>
      <c r="O156" s="40">
        <v>0</v>
      </c>
    </row>
    <row r="157" spans="1:15" x14ac:dyDescent="0.25">
      <c r="A157" s="38">
        <v>46276</v>
      </c>
      <c r="B157" s="39">
        <f t="shared" si="4"/>
        <v>46276</v>
      </c>
      <c r="C157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W22 (5/9 - 11/9)</v>
      </c>
      <c r="D157" s="40">
        <v>1</v>
      </c>
      <c r="E157" s="40">
        <v>1</v>
      </c>
      <c r="F157" s="40">
        <v>0</v>
      </c>
      <c r="G157" s="40">
        <v>0</v>
      </c>
      <c r="H157" s="40">
        <v>0</v>
      </c>
      <c r="I157" s="40">
        <v>0</v>
      </c>
      <c r="J157" s="40">
        <v>0</v>
      </c>
      <c r="K157" s="40">
        <v>1</v>
      </c>
      <c r="L157" s="40">
        <v>0</v>
      </c>
      <c r="M157" s="40">
        <v>0</v>
      </c>
      <c r="N157" s="40">
        <v>0</v>
      </c>
      <c r="O157" s="40">
        <v>0</v>
      </c>
    </row>
    <row r="158" spans="1:15" x14ac:dyDescent="0.25">
      <c r="A158" s="38">
        <v>46277</v>
      </c>
      <c r="B158" s="39">
        <f t="shared" si="4"/>
        <v>46277</v>
      </c>
      <c r="C158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W23 (12/9 - 18/9)</v>
      </c>
      <c r="D158" s="40">
        <v>0</v>
      </c>
      <c r="E158" s="40">
        <v>1</v>
      </c>
      <c r="F158" s="40">
        <v>0</v>
      </c>
      <c r="G158" s="40">
        <v>0</v>
      </c>
      <c r="H158" s="40">
        <v>0</v>
      </c>
      <c r="I158" s="40">
        <v>0</v>
      </c>
      <c r="J158" s="40">
        <v>0</v>
      </c>
      <c r="K158" s="40">
        <v>0</v>
      </c>
      <c r="L158" s="40">
        <v>3</v>
      </c>
      <c r="M158" s="40">
        <v>0</v>
      </c>
      <c r="N158" s="40">
        <v>0</v>
      </c>
      <c r="O158" s="40">
        <v>0</v>
      </c>
    </row>
    <row r="159" spans="1:15" x14ac:dyDescent="0.25">
      <c r="A159" s="38">
        <v>46278</v>
      </c>
      <c r="B159" s="39">
        <f t="shared" si="4"/>
        <v>46278</v>
      </c>
      <c r="C159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W23 (12/9 - 18/9)</v>
      </c>
      <c r="D159" s="40">
        <v>0</v>
      </c>
      <c r="E159" s="40">
        <v>1</v>
      </c>
      <c r="F159" s="40">
        <v>0</v>
      </c>
      <c r="G159" s="40">
        <v>0</v>
      </c>
      <c r="H159" s="40">
        <v>0</v>
      </c>
      <c r="I159" s="40">
        <v>0</v>
      </c>
      <c r="J159" s="40">
        <v>0</v>
      </c>
      <c r="K159" s="40">
        <v>0</v>
      </c>
      <c r="L159" s="40">
        <v>1</v>
      </c>
      <c r="M159" s="40">
        <v>0</v>
      </c>
      <c r="N159" s="40">
        <v>0</v>
      </c>
      <c r="O159" s="40">
        <v>0</v>
      </c>
    </row>
    <row r="160" spans="1:15" x14ac:dyDescent="0.25">
      <c r="A160" s="38">
        <v>46279</v>
      </c>
      <c r="B160" s="39">
        <f t="shared" si="4"/>
        <v>46279</v>
      </c>
      <c r="C160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W23 (12/9 - 18/9)</v>
      </c>
      <c r="D160" s="40">
        <v>1</v>
      </c>
      <c r="E160" s="40">
        <v>1</v>
      </c>
      <c r="F160" s="40">
        <v>0</v>
      </c>
      <c r="G160" s="40">
        <v>0</v>
      </c>
      <c r="H160" s="40">
        <v>0</v>
      </c>
      <c r="I160" s="40">
        <v>0</v>
      </c>
      <c r="J160" s="40">
        <v>0</v>
      </c>
      <c r="K160" s="40">
        <v>0</v>
      </c>
      <c r="L160" s="40">
        <v>0</v>
      </c>
      <c r="M160" s="40">
        <v>0</v>
      </c>
      <c r="N160" s="40">
        <v>0</v>
      </c>
      <c r="O160" s="40">
        <v>0</v>
      </c>
    </row>
    <row r="161" spans="1:15" x14ac:dyDescent="0.25">
      <c r="A161" s="38">
        <v>46280</v>
      </c>
      <c r="B161" s="39">
        <f t="shared" si="4"/>
        <v>46280</v>
      </c>
      <c r="C161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W23 (12/9 - 18/9)</v>
      </c>
      <c r="D161" s="40">
        <v>1</v>
      </c>
      <c r="E161" s="40">
        <v>1</v>
      </c>
      <c r="F161" s="40">
        <v>0</v>
      </c>
      <c r="G161" s="40">
        <v>0</v>
      </c>
      <c r="H161" s="40">
        <v>0</v>
      </c>
      <c r="I161" s="40">
        <v>0</v>
      </c>
      <c r="J161" s="40">
        <v>0</v>
      </c>
      <c r="K161" s="40">
        <v>0</v>
      </c>
      <c r="L161" s="40">
        <v>0</v>
      </c>
      <c r="M161" s="40">
        <v>0</v>
      </c>
      <c r="N161" s="40">
        <v>0</v>
      </c>
      <c r="O161" s="40">
        <v>0</v>
      </c>
    </row>
    <row r="162" spans="1:15" x14ac:dyDescent="0.25">
      <c r="A162" s="38">
        <v>46281</v>
      </c>
      <c r="B162" s="39">
        <f t="shared" si="4"/>
        <v>46281</v>
      </c>
      <c r="C162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W23 (12/9 - 18/9)</v>
      </c>
      <c r="D162" s="40">
        <v>0</v>
      </c>
      <c r="E162" s="40">
        <v>1</v>
      </c>
      <c r="F162" s="40">
        <v>0</v>
      </c>
      <c r="G162" s="40">
        <v>0</v>
      </c>
      <c r="H162" s="40">
        <v>0</v>
      </c>
      <c r="I162" s="40">
        <v>0</v>
      </c>
      <c r="J162" s="40">
        <v>0</v>
      </c>
      <c r="K162" s="40">
        <v>0</v>
      </c>
      <c r="L162" s="40">
        <v>0</v>
      </c>
      <c r="M162" s="40">
        <v>0</v>
      </c>
      <c r="N162" s="40">
        <v>0</v>
      </c>
      <c r="O162" s="40">
        <v>0</v>
      </c>
    </row>
    <row r="163" spans="1:15" x14ac:dyDescent="0.25">
      <c r="A163" s="38">
        <v>46282</v>
      </c>
      <c r="B163" s="39">
        <f t="shared" si="4"/>
        <v>46282</v>
      </c>
      <c r="C163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W23 (12/9 - 18/9)</v>
      </c>
      <c r="D163" s="40">
        <v>0</v>
      </c>
      <c r="E163" s="40">
        <v>1</v>
      </c>
      <c r="F163" s="40">
        <v>0</v>
      </c>
      <c r="G163" s="40">
        <v>0</v>
      </c>
      <c r="H163" s="40">
        <v>0</v>
      </c>
      <c r="I163" s="40">
        <v>0</v>
      </c>
      <c r="J163" s="40">
        <v>0</v>
      </c>
      <c r="K163" s="40">
        <v>0</v>
      </c>
      <c r="L163" s="40">
        <v>6</v>
      </c>
      <c r="M163" s="40">
        <v>0</v>
      </c>
      <c r="N163" s="40">
        <v>0</v>
      </c>
      <c r="O163" s="40">
        <v>0</v>
      </c>
    </row>
    <row r="164" spans="1:15" x14ac:dyDescent="0.25">
      <c r="A164" s="38">
        <v>46283</v>
      </c>
      <c r="B164" s="39">
        <f t="shared" si="4"/>
        <v>46283</v>
      </c>
      <c r="C164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W23 (12/9 - 18/9)</v>
      </c>
      <c r="D164" s="40">
        <v>0</v>
      </c>
      <c r="E164" s="40">
        <v>1</v>
      </c>
      <c r="F164" s="40">
        <v>0</v>
      </c>
      <c r="G164" s="40">
        <v>0</v>
      </c>
      <c r="H164" s="40">
        <v>0</v>
      </c>
      <c r="I164" s="40">
        <v>0</v>
      </c>
      <c r="J164" s="40">
        <v>0</v>
      </c>
      <c r="K164" s="40">
        <v>1</v>
      </c>
      <c r="L164" s="40">
        <v>3</v>
      </c>
      <c r="M164" s="40">
        <v>0</v>
      </c>
      <c r="N164" s="40">
        <v>0</v>
      </c>
      <c r="O164" s="40">
        <v>0</v>
      </c>
    </row>
    <row r="165" spans="1:15" x14ac:dyDescent="0.25">
      <c r="A165" s="38">
        <v>46284</v>
      </c>
      <c r="B165" s="39">
        <f t="shared" si="4"/>
        <v>46284</v>
      </c>
      <c r="C165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W24 (19/9 - 25/9)</v>
      </c>
      <c r="D165" s="40">
        <v>0</v>
      </c>
      <c r="E165" s="40">
        <v>1</v>
      </c>
      <c r="F165" s="40">
        <v>0</v>
      </c>
      <c r="G165" s="40">
        <v>0</v>
      </c>
      <c r="H165" s="40">
        <v>0</v>
      </c>
      <c r="I165" s="40">
        <v>0</v>
      </c>
      <c r="J165" s="40">
        <v>0</v>
      </c>
      <c r="K165" s="40">
        <v>0</v>
      </c>
      <c r="L165" s="40">
        <v>0</v>
      </c>
      <c r="M165" s="40">
        <v>0</v>
      </c>
      <c r="N165" s="40">
        <v>0</v>
      </c>
      <c r="O165" s="40">
        <v>0</v>
      </c>
    </row>
    <row r="166" spans="1:15" x14ac:dyDescent="0.25">
      <c r="A166" s="38">
        <v>46285</v>
      </c>
      <c r="B166" s="39">
        <f t="shared" ref="B166:B197" si="5">A166</f>
        <v>46285</v>
      </c>
      <c r="C166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W24 (19/9 - 25/9)</v>
      </c>
      <c r="D166" s="40">
        <v>0</v>
      </c>
      <c r="E166" s="40">
        <v>1</v>
      </c>
      <c r="F166" s="40">
        <v>0</v>
      </c>
      <c r="G166" s="40">
        <v>0</v>
      </c>
      <c r="H166" s="40">
        <v>0</v>
      </c>
      <c r="I166" s="40">
        <v>0</v>
      </c>
      <c r="J166" s="40">
        <v>0</v>
      </c>
      <c r="K166" s="40">
        <v>0</v>
      </c>
      <c r="L166" s="40">
        <v>0</v>
      </c>
      <c r="M166" s="40">
        <v>0</v>
      </c>
      <c r="N166" s="40">
        <v>0</v>
      </c>
      <c r="O166" s="40">
        <v>0</v>
      </c>
    </row>
    <row r="167" spans="1:15" x14ac:dyDescent="0.25">
      <c r="A167" s="38">
        <v>46286</v>
      </c>
      <c r="B167" s="39">
        <f t="shared" si="5"/>
        <v>46286</v>
      </c>
      <c r="C167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W24 (19/9 - 25/9)</v>
      </c>
      <c r="D167" s="40">
        <v>1</v>
      </c>
      <c r="E167" s="40">
        <v>1</v>
      </c>
      <c r="F167" s="40">
        <v>0</v>
      </c>
      <c r="G167" s="40">
        <v>0</v>
      </c>
      <c r="H167" s="40">
        <v>0</v>
      </c>
      <c r="I167" s="40">
        <v>0</v>
      </c>
      <c r="J167" s="40">
        <v>0</v>
      </c>
      <c r="K167" s="40">
        <v>0</v>
      </c>
      <c r="L167" s="40">
        <v>1</v>
      </c>
      <c r="M167" s="40">
        <v>0</v>
      </c>
      <c r="N167" s="40">
        <v>0</v>
      </c>
      <c r="O167" s="40">
        <v>0</v>
      </c>
    </row>
    <row r="168" spans="1:15" x14ac:dyDescent="0.25">
      <c r="A168" s="38">
        <v>46287</v>
      </c>
      <c r="B168" s="39">
        <f t="shared" si="5"/>
        <v>46287</v>
      </c>
      <c r="C168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W24 (19/9 - 25/9)</v>
      </c>
      <c r="D168" s="40">
        <v>0</v>
      </c>
      <c r="E168" s="40">
        <v>1</v>
      </c>
      <c r="F168" s="40">
        <v>0</v>
      </c>
      <c r="G168" s="40">
        <v>0</v>
      </c>
      <c r="H168" s="40">
        <v>0</v>
      </c>
      <c r="I168" s="40">
        <v>0</v>
      </c>
      <c r="J168" s="40">
        <v>0</v>
      </c>
      <c r="K168" s="40">
        <v>0</v>
      </c>
      <c r="L168" s="40">
        <v>0</v>
      </c>
      <c r="M168" s="40">
        <v>0</v>
      </c>
      <c r="N168" s="40">
        <v>0</v>
      </c>
      <c r="O168" s="40">
        <v>0</v>
      </c>
    </row>
    <row r="169" spans="1:15" x14ac:dyDescent="0.25">
      <c r="A169" s="38">
        <v>46288</v>
      </c>
      <c r="B169" s="39">
        <f t="shared" si="5"/>
        <v>46288</v>
      </c>
      <c r="C169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W24 (19/9 - 25/9)</v>
      </c>
      <c r="D169" s="40">
        <v>0</v>
      </c>
      <c r="E169" s="40">
        <v>1</v>
      </c>
      <c r="F169" s="40">
        <v>0</v>
      </c>
      <c r="G169" s="40">
        <v>0</v>
      </c>
      <c r="H169" s="40">
        <v>0</v>
      </c>
      <c r="I169" s="40">
        <v>0</v>
      </c>
      <c r="J169" s="40">
        <v>1</v>
      </c>
      <c r="K169" s="40">
        <v>0</v>
      </c>
      <c r="L169" s="40">
        <v>11</v>
      </c>
      <c r="M169" s="40">
        <v>0</v>
      </c>
      <c r="N169" s="40">
        <v>0</v>
      </c>
      <c r="O169" s="40">
        <v>0</v>
      </c>
    </row>
    <row r="170" spans="1:15" x14ac:dyDescent="0.25">
      <c r="A170" s="38">
        <v>46289</v>
      </c>
      <c r="B170" s="39">
        <f t="shared" si="5"/>
        <v>46289</v>
      </c>
      <c r="C170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W24 (19/9 - 25/9)</v>
      </c>
      <c r="D170" s="40">
        <v>1</v>
      </c>
      <c r="E170" s="40">
        <v>1</v>
      </c>
      <c r="F170" s="40">
        <v>0</v>
      </c>
      <c r="G170" s="40">
        <v>0</v>
      </c>
      <c r="H170" s="40">
        <v>0</v>
      </c>
      <c r="I170" s="40">
        <v>0</v>
      </c>
      <c r="J170" s="40">
        <v>0</v>
      </c>
      <c r="K170" s="40">
        <v>0</v>
      </c>
      <c r="L170" s="40">
        <v>11</v>
      </c>
      <c r="M170" s="40">
        <v>0</v>
      </c>
      <c r="N170" s="40">
        <v>0</v>
      </c>
      <c r="O170" s="40">
        <v>0</v>
      </c>
    </row>
    <row r="171" spans="1:15" x14ac:dyDescent="0.25">
      <c r="A171" s="38">
        <v>46290</v>
      </c>
      <c r="B171" s="39">
        <f t="shared" si="5"/>
        <v>46290</v>
      </c>
      <c r="C171" s="40" t="str">
        <f>IF(Leading[[#This Row],[DATE]]&lt;DATE(2026,4,11),"0",_xlfn.LET(
_xlpm.W,INT((Leading[[#This Row],[DATE]]-DATE(2026,4,11))/7)+1,
_xlpm.S,DATE(2026,4,11)+(_xlpm.W-1)*7,
_xlpm.E,_xlpm.S+6,
"W"&amp;TEXT(_xlpm.W,"00")&amp;" ("&amp;TEXT(_xlpm.S,"d/m")&amp;" - "&amp;TEXT(_xlpm.E,"d/m")&amp;")"
))</f>
        <v>W24 (19/9 - 25/9)</v>
      </c>
      <c r="D171" s="40">
        <v>1</v>
      </c>
      <c r="E171" s="40">
        <v>1</v>
      </c>
      <c r="F171" s="40">
        <v>0</v>
      </c>
      <c r="G171" s="40">
        <v>0</v>
      </c>
      <c r="H171" s="40">
        <v>0</v>
      </c>
      <c r="I171" s="40">
        <v>0</v>
      </c>
      <c r="J171" s="40">
        <v>0</v>
      </c>
      <c r="K171" s="40">
        <v>0</v>
      </c>
      <c r="L171" s="40">
        <v>38</v>
      </c>
      <c r="M171" s="40">
        <v>1</v>
      </c>
      <c r="N171" s="40">
        <v>2</v>
      </c>
      <c r="O171" s="40">
        <v>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43"/>
  <sheetViews>
    <sheetView topLeftCell="A34" workbookViewId="0">
      <selection activeCell="O2" sqref="O2"/>
    </sheetView>
  </sheetViews>
  <sheetFormatPr defaultRowHeight="34.5" customHeight="1" x14ac:dyDescent="0.25"/>
  <cols>
    <col min="1" max="1" width="5.5703125" style="15" customWidth="1"/>
    <col min="2" max="2" width="18.28515625" style="15" customWidth="1"/>
    <col min="3" max="3" width="31.140625" style="15" customWidth="1"/>
    <col min="4" max="4" width="28.28515625" style="15" bestFit="1" customWidth="1"/>
    <col min="5" max="5" width="28.28515625" style="15" customWidth="1"/>
    <col min="6" max="11" width="19.85546875" style="15" customWidth="1"/>
    <col min="12" max="12" width="70" style="32" customWidth="1"/>
    <col min="13" max="13" width="17" style="15" customWidth="1"/>
    <col min="14" max="14" width="9.140625" style="15" customWidth="1"/>
    <col min="15" max="16384" width="9.140625" style="15"/>
  </cols>
  <sheetData>
    <row r="1" spans="1:13" ht="34.5" customHeight="1" x14ac:dyDescent="0.25">
      <c r="A1" s="33" t="s">
        <v>55</v>
      </c>
      <c r="B1" s="14" t="s">
        <v>56</v>
      </c>
      <c r="C1" s="14" t="s">
        <v>57</v>
      </c>
      <c r="D1" s="14" t="s">
        <v>58</v>
      </c>
      <c r="E1" s="14" t="s">
        <v>59</v>
      </c>
      <c r="F1" s="14" t="s">
        <v>60</v>
      </c>
      <c r="G1" s="14" t="s">
        <v>61</v>
      </c>
      <c r="H1" s="14" t="s">
        <v>62</v>
      </c>
      <c r="I1" s="14" t="s">
        <v>63</v>
      </c>
      <c r="J1" s="14" t="s">
        <v>64</v>
      </c>
      <c r="K1" s="14" t="s">
        <v>65</v>
      </c>
      <c r="L1" s="14" t="s">
        <v>66</v>
      </c>
      <c r="M1" s="14" t="s">
        <v>67</v>
      </c>
    </row>
    <row r="2" spans="1:13" ht="34.5" customHeight="1" x14ac:dyDescent="0.25">
      <c r="A2" s="16">
        <v>1</v>
      </c>
      <c r="B2" s="17" t="s">
        <v>68</v>
      </c>
      <c r="C2" s="17" t="s">
        <v>69</v>
      </c>
      <c r="D2" s="17" t="s">
        <v>70</v>
      </c>
      <c r="E2" s="17" t="str">
        <f>IF(Table3[[#This Row],[Hazard Type RAW]]="NA",Table3[[#This Row],[BSC Type]],IF(Table3[[#This Row],[Hazard Type RAW]]="Others","Others - "&amp;Table3[[#This Row],[BSC Type]],Table3[[#This Row],[Hazard Type RAW]]))</f>
        <v>Suggestion for Improvement</v>
      </c>
      <c r="F2" s="18">
        <v>46257</v>
      </c>
      <c r="G2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2" s="18">
        <v>46257</v>
      </c>
      <c r="I2" s="17" t="s">
        <v>71</v>
      </c>
      <c r="J2" s="17" t="s">
        <v>72</v>
      </c>
      <c r="K2" s="17" t="s">
        <v>73</v>
      </c>
      <c r="L2" s="19" t="s">
        <v>74</v>
      </c>
      <c r="M2" s="17" t="s">
        <v>75</v>
      </c>
    </row>
    <row r="3" spans="1:13" ht="34.5" customHeight="1" x14ac:dyDescent="0.25">
      <c r="A3" s="16">
        <v>2</v>
      </c>
      <c r="B3" s="17" t="s">
        <v>76</v>
      </c>
      <c r="C3" s="17" t="s">
        <v>77</v>
      </c>
      <c r="D3" s="17" t="s">
        <v>70</v>
      </c>
      <c r="E3" s="17" t="str">
        <f>IF(Table3[[#This Row],[Hazard Type RAW]]="NA",Table3[[#This Row],[BSC Type]],IF(Table3[[#This Row],[Hazard Type RAW]]="Others","Others - "&amp;Table3[[#This Row],[BSC Type]],Table3[[#This Row],[Hazard Type RAW]]))</f>
        <v>Safe Condition</v>
      </c>
      <c r="F3" s="18">
        <v>46257</v>
      </c>
      <c r="G3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3" s="18">
        <v>46257</v>
      </c>
      <c r="I3" s="17" t="s">
        <v>71</v>
      </c>
      <c r="J3" s="17" t="s">
        <v>72</v>
      </c>
      <c r="K3" s="17" t="s">
        <v>73</v>
      </c>
      <c r="L3" s="19" t="s">
        <v>78</v>
      </c>
      <c r="M3" s="17" t="s">
        <v>75</v>
      </c>
    </row>
    <row r="4" spans="1:13" ht="34.5" customHeight="1" x14ac:dyDescent="0.25">
      <c r="A4" s="16">
        <v>3</v>
      </c>
      <c r="B4" s="17" t="s">
        <v>79</v>
      </c>
      <c r="C4" s="17" t="s">
        <v>80</v>
      </c>
      <c r="D4" s="17" t="s">
        <v>70</v>
      </c>
      <c r="E4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4" s="18">
        <v>46257</v>
      </c>
      <c r="G4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4" s="18">
        <v>46257</v>
      </c>
      <c r="I4" s="17" t="s">
        <v>81</v>
      </c>
      <c r="J4" s="17" t="s">
        <v>82</v>
      </c>
      <c r="K4" s="17" t="s">
        <v>73</v>
      </c>
      <c r="L4" s="19" t="s">
        <v>83</v>
      </c>
      <c r="M4" s="17" t="s">
        <v>75</v>
      </c>
    </row>
    <row r="5" spans="1:13" ht="34.5" customHeight="1" x14ac:dyDescent="0.25">
      <c r="A5" s="16">
        <v>4</v>
      </c>
      <c r="B5" s="17" t="s">
        <v>84</v>
      </c>
      <c r="C5" s="17" t="s">
        <v>69</v>
      </c>
      <c r="D5" s="17" t="s">
        <v>70</v>
      </c>
      <c r="E5" s="17" t="str">
        <f>IF(Table3[[#This Row],[Hazard Type RAW]]="NA",Table3[[#This Row],[BSC Type]],IF(Table3[[#This Row],[Hazard Type RAW]]="Others","Others - "&amp;Table3[[#This Row],[BSC Type]],Table3[[#This Row],[Hazard Type RAW]]))</f>
        <v>Suggestion for Improvement</v>
      </c>
      <c r="F5" s="18">
        <v>46258</v>
      </c>
      <c r="G5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5" s="18">
        <v>46258</v>
      </c>
      <c r="I5" s="17" t="s">
        <v>85</v>
      </c>
      <c r="J5" s="17" t="s">
        <v>82</v>
      </c>
      <c r="K5" s="17" t="s">
        <v>73</v>
      </c>
      <c r="L5" s="19" t="s">
        <v>86</v>
      </c>
      <c r="M5" s="17" t="s">
        <v>75</v>
      </c>
    </row>
    <row r="6" spans="1:13" ht="34.5" customHeight="1" x14ac:dyDescent="0.25">
      <c r="A6" s="16">
        <v>5</v>
      </c>
      <c r="B6" s="17" t="s">
        <v>87</v>
      </c>
      <c r="C6" s="17" t="s">
        <v>88</v>
      </c>
      <c r="D6" s="17" t="s">
        <v>89</v>
      </c>
      <c r="E6" s="17" t="str">
        <f>IF(Table3[[#This Row],[Hazard Type RAW]]="NA",Table3[[#This Row],[BSC Type]],IF(Table3[[#This Row],[Hazard Type RAW]]="Others","Others - "&amp;Table3[[#This Row],[BSC Type]],Table3[[#This Row],[Hazard Type RAW]]))</f>
        <v>Inadequate Warning System</v>
      </c>
      <c r="F6" s="18">
        <v>46258</v>
      </c>
      <c r="G6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6" s="18">
        <v>46259</v>
      </c>
      <c r="I6" s="17" t="s">
        <v>71</v>
      </c>
      <c r="J6" s="17" t="s">
        <v>72</v>
      </c>
      <c r="K6" s="17" t="s">
        <v>73</v>
      </c>
      <c r="L6" s="19" t="s">
        <v>90</v>
      </c>
      <c r="M6" s="17" t="s">
        <v>75</v>
      </c>
    </row>
    <row r="7" spans="1:13" ht="34.5" customHeight="1" x14ac:dyDescent="0.25">
      <c r="A7" s="16">
        <v>6</v>
      </c>
      <c r="B7" s="17" t="s">
        <v>91</v>
      </c>
      <c r="C7" s="17" t="s">
        <v>77</v>
      </c>
      <c r="D7" s="17" t="s">
        <v>70</v>
      </c>
      <c r="E7" s="17" t="str">
        <f>IF(Table3[[#This Row],[Hazard Type RAW]]="NA",Table3[[#This Row],[BSC Type]],IF(Table3[[#This Row],[Hazard Type RAW]]="Others","Others - "&amp;Table3[[#This Row],[BSC Type]],Table3[[#This Row],[Hazard Type RAW]]))</f>
        <v>Safe Condition</v>
      </c>
      <c r="F7" s="18">
        <v>46258</v>
      </c>
      <c r="G7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7" s="18">
        <v>46253</v>
      </c>
      <c r="I7" s="17" t="s">
        <v>92</v>
      </c>
      <c r="J7" s="17" t="s">
        <v>82</v>
      </c>
      <c r="K7" s="17" t="s">
        <v>73</v>
      </c>
      <c r="L7" s="19" t="s">
        <v>93</v>
      </c>
      <c r="M7" s="17" t="s">
        <v>75</v>
      </c>
    </row>
    <row r="8" spans="1:13" ht="34.5" customHeight="1" x14ac:dyDescent="0.25">
      <c r="A8" s="16">
        <v>7</v>
      </c>
      <c r="B8" s="17" t="s">
        <v>94</v>
      </c>
      <c r="C8" s="17" t="s">
        <v>88</v>
      </c>
      <c r="D8" s="17" t="s">
        <v>95</v>
      </c>
      <c r="E8" s="17" t="str">
        <f>IF(Table3[[#This Row],[Hazard Type RAW]]="NA",Table3[[#This Row],[BSC Type]],IF(Table3[[#This Row],[Hazard Type RAW]]="Others","Others - "&amp;Table3[[#This Row],[BSC Type]],Table3[[#This Row],[Hazard Type RAW]]))</f>
        <v>Inadequate Guards or Barriers</v>
      </c>
      <c r="F8" s="18">
        <v>46258</v>
      </c>
      <c r="G8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8" s="18">
        <v>46246</v>
      </c>
      <c r="I8" s="17" t="s">
        <v>96</v>
      </c>
      <c r="J8" s="17" t="s">
        <v>82</v>
      </c>
      <c r="K8" s="17" t="s">
        <v>73</v>
      </c>
      <c r="L8" s="19" t="s">
        <v>97</v>
      </c>
      <c r="M8" s="17" t="s">
        <v>75</v>
      </c>
    </row>
    <row r="9" spans="1:13" ht="34.5" customHeight="1" x14ac:dyDescent="0.25">
      <c r="A9" s="16">
        <v>8</v>
      </c>
      <c r="B9" s="17" t="s">
        <v>98</v>
      </c>
      <c r="C9" s="17" t="s">
        <v>88</v>
      </c>
      <c r="D9" s="17" t="s">
        <v>99</v>
      </c>
      <c r="E9" s="17" t="str">
        <f>IF(Table3[[#This Row],[Hazard Type RAW]]="NA",Table3[[#This Row],[BSC Type]],IF(Table3[[#This Row],[Hazard Type RAW]]="Others","Others - "&amp;Table3[[#This Row],[BSC Type]],Table3[[#This Row],[Hazard Type RAW]]))</f>
        <v>Poor Housekeeping/Disorder</v>
      </c>
      <c r="F9" s="18">
        <v>46258</v>
      </c>
      <c r="G9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9" s="18">
        <v>46253</v>
      </c>
      <c r="I9" s="17" t="s">
        <v>92</v>
      </c>
      <c r="J9" s="17" t="s">
        <v>82</v>
      </c>
      <c r="K9" s="17" t="s">
        <v>73</v>
      </c>
      <c r="L9" s="19" t="s">
        <v>100</v>
      </c>
      <c r="M9" s="17" t="s">
        <v>75</v>
      </c>
    </row>
    <row r="10" spans="1:13" ht="34.5" customHeight="1" x14ac:dyDescent="0.25">
      <c r="A10" s="16">
        <v>9</v>
      </c>
      <c r="B10" s="17" t="s">
        <v>101</v>
      </c>
      <c r="C10" s="17" t="s">
        <v>88</v>
      </c>
      <c r="D10" s="17" t="s">
        <v>95</v>
      </c>
      <c r="E10" s="17" t="str">
        <f>IF(Table3[[#This Row],[Hazard Type RAW]]="NA",Table3[[#This Row],[BSC Type]],IF(Table3[[#This Row],[Hazard Type RAW]]="Others","Others - "&amp;Table3[[#This Row],[BSC Type]],Table3[[#This Row],[Hazard Type RAW]]))</f>
        <v>Inadequate Guards or Barriers</v>
      </c>
      <c r="F10" s="18">
        <v>46258</v>
      </c>
      <c r="G10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10" s="18">
        <v>46258</v>
      </c>
      <c r="I10" s="17" t="s">
        <v>92</v>
      </c>
      <c r="J10" s="17" t="s">
        <v>82</v>
      </c>
      <c r="K10" s="17" t="s">
        <v>73</v>
      </c>
      <c r="L10" s="19" t="s">
        <v>102</v>
      </c>
      <c r="M10" s="17" t="s">
        <v>75</v>
      </c>
    </row>
    <row r="11" spans="1:13" ht="34.5" customHeight="1" x14ac:dyDescent="0.25">
      <c r="A11" s="16">
        <v>10</v>
      </c>
      <c r="B11" s="17" t="s">
        <v>103</v>
      </c>
      <c r="C11" s="17" t="s">
        <v>69</v>
      </c>
      <c r="D11" s="17" t="s">
        <v>70</v>
      </c>
      <c r="E11" s="17" t="str">
        <f>IF(Table3[[#This Row],[Hazard Type RAW]]="NA",Table3[[#This Row],[BSC Type]],IF(Table3[[#This Row],[Hazard Type RAW]]="Others","Others - "&amp;Table3[[#This Row],[BSC Type]],Table3[[#This Row],[Hazard Type RAW]]))</f>
        <v>Suggestion for Improvement</v>
      </c>
      <c r="F11" s="18">
        <v>46258</v>
      </c>
      <c r="G11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11" s="18">
        <v>46258</v>
      </c>
      <c r="I11" s="17" t="s">
        <v>104</v>
      </c>
      <c r="J11" s="17" t="s">
        <v>82</v>
      </c>
      <c r="K11" s="17" t="s">
        <v>73</v>
      </c>
      <c r="L11" s="19" t="s">
        <v>105</v>
      </c>
      <c r="M11" s="17" t="s">
        <v>75</v>
      </c>
    </row>
    <row r="12" spans="1:13" ht="34.5" customHeight="1" x14ac:dyDescent="0.25">
      <c r="A12" s="16">
        <v>11</v>
      </c>
      <c r="B12" s="17" t="s">
        <v>106</v>
      </c>
      <c r="C12" s="17" t="s">
        <v>80</v>
      </c>
      <c r="D12" s="17" t="s">
        <v>70</v>
      </c>
      <c r="E12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12" s="18">
        <v>46258</v>
      </c>
      <c r="G12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12" s="18">
        <v>46258</v>
      </c>
      <c r="I12" s="17" t="s">
        <v>104</v>
      </c>
      <c r="J12" s="17" t="s">
        <v>82</v>
      </c>
      <c r="K12" s="17" t="s">
        <v>73</v>
      </c>
      <c r="L12" s="19" t="s">
        <v>107</v>
      </c>
      <c r="M12" s="17" t="s">
        <v>75</v>
      </c>
    </row>
    <row r="13" spans="1:13" ht="34.5" customHeight="1" x14ac:dyDescent="0.25">
      <c r="A13" s="16">
        <v>12</v>
      </c>
      <c r="B13" s="17" t="s">
        <v>108</v>
      </c>
      <c r="C13" s="17" t="s">
        <v>80</v>
      </c>
      <c r="D13" s="17" t="s">
        <v>70</v>
      </c>
      <c r="E13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13" s="18">
        <v>46258</v>
      </c>
      <c r="G13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13" s="18">
        <v>46257</v>
      </c>
      <c r="I13" s="17" t="s">
        <v>81</v>
      </c>
      <c r="J13" s="17" t="s">
        <v>82</v>
      </c>
      <c r="K13" s="17" t="s">
        <v>73</v>
      </c>
      <c r="L13" s="19" t="s">
        <v>109</v>
      </c>
      <c r="M13" s="17" t="s">
        <v>75</v>
      </c>
    </row>
    <row r="14" spans="1:13" ht="34.5" customHeight="1" x14ac:dyDescent="0.25">
      <c r="A14" s="16">
        <v>13</v>
      </c>
      <c r="B14" s="17" t="s">
        <v>110</v>
      </c>
      <c r="C14" s="17" t="s">
        <v>88</v>
      </c>
      <c r="D14" s="17" t="s">
        <v>89</v>
      </c>
      <c r="E14" s="17" t="str">
        <f>IF(Table3[[#This Row],[Hazard Type RAW]]="NA",Table3[[#This Row],[BSC Type]],IF(Table3[[#This Row],[Hazard Type RAW]]="Others","Others - "&amp;Table3[[#This Row],[BSC Type]],Table3[[#This Row],[Hazard Type RAW]]))</f>
        <v>Inadequate Warning System</v>
      </c>
      <c r="F14" s="18">
        <v>46258</v>
      </c>
      <c r="G14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14" s="18">
        <v>46258</v>
      </c>
      <c r="I14" s="17" t="s">
        <v>111</v>
      </c>
      <c r="J14" s="17" t="s">
        <v>82</v>
      </c>
      <c r="K14" s="17" t="s">
        <v>73</v>
      </c>
      <c r="L14" s="19" t="s">
        <v>112</v>
      </c>
      <c r="M14" s="17" t="s">
        <v>75</v>
      </c>
    </row>
    <row r="15" spans="1:13" ht="34.5" customHeight="1" x14ac:dyDescent="0.25">
      <c r="A15" s="16">
        <v>14</v>
      </c>
      <c r="B15" s="17" t="s">
        <v>113</v>
      </c>
      <c r="C15" s="17" t="s">
        <v>80</v>
      </c>
      <c r="D15" s="17" t="s">
        <v>70</v>
      </c>
      <c r="E15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15" s="18">
        <v>46258</v>
      </c>
      <c r="G15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15" s="18">
        <v>46258</v>
      </c>
      <c r="I15" s="17" t="s">
        <v>111</v>
      </c>
      <c r="J15" s="17" t="s">
        <v>82</v>
      </c>
      <c r="K15" s="17" t="s">
        <v>73</v>
      </c>
      <c r="L15" s="19" t="s">
        <v>114</v>
      </c>
      <c r="M15" s="17" t="s">
        <v>75</v>
      </c>
    </row>
    <row r="16" spans="1:13" ht="34.5" customHeight="1" x14ac:dyDescent="0.25">
      <c r="A16" s="16">
        <v>15</v>
      </c>
      <c r="B16" s="17" t="s">
        <v>115</v>
      </c>
      <c r="C16" s="17" t="s">
        <v>116</v>
      </c>
      <c r="D16" s="17" t="s">
        <v>117</v>
      </c>
      <c r="E16" s="17" t="str">
        <f>IF(Table3[[#This Row],[Hazard Type RAW]]="NA",Table3[[#This Row],[BSC Type]],IF(Table3[[#This Row],[Hazard Type RAW]]="Others","Others - "&amp;Table3[[#This Row],[BSC Type]],Table3[[#This Row],[Hazard Type RAW]]))</f>
        <v>Others - Unsafe Act</v>
      </c>
      <c r="F16" s="18">
        <v>46258</v>
      </c>
      <c r="G16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16" s="18">
        <v>46258</v>
      </c>
      <c r="I16" s="17" t="s">
        <v>85</v>
      </c>
      <c r="J16" s="17" t="s">
        <v>82</v>
      </c>
      <c r="K16" s="17" t="s">
        <v>73</v>
      </c>
      <c r="L16" s="19" t="s">
        <v>118</v>
      </c>
      <c r="M16" s="17" t="s">
        <v>75</v>
      </c>
    </row>
    <row r="17" spans="1:13" ht="34.5" customHeight="1" x14ac:dyDescent="0.25">
      <c r="A17" s="16">
        <v>16</v>
      </c>
      <c r="B17" s="17" t="s">
        <v>119</v>
      </c>
      <c r="C17" s="17" t="s">
        <v>80</v>
      </c>
      <c r="D17" s="17" t="s">
        <v>70</v>
      </c>
      <c r="E17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17" s="18">
        <v>46258</v>
      </c>
      <c r="G17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17" s="18">
        <v>46259</v>
      </c>
      <c r="I17" s="17" t="s">
        <v>85</v>
      </c>
      <c r="J17" s="17" t="s">
        <v>82</v>
      </c>
      <c r="K17" s="17" t="s">
        <v>73</v>
      </c>
      <c r="L17" s="19" t="s">
        <v>120</v>
      </c>
      <c r="M17" s="17" t="s">
        <v>75</v>
      </c>
    </row>
    <row r="18" spans="1:13" ht="34.5" customHeight="1" x14ac:dyDescent="0.25">
      <c r="A18" s="16">
        <v>17</v>
      </c>
      <c r="B18" s="17" t="s">
        <v>121</v>
      </c>
      <c r="C18" s="17" t="s">
        <v>80</v>
      </c>
      <c r="D18" s="17" t="s">
        <v>70</v>
      </c>
      <c r="E18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18" s="18">
        <v>46258</v>
      </c>
      <c r="G18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18" s="18">
        <v>46259</v>
      </c>
      <c r="I18" s="17" t="s">
        <v>85</v>
      </c>
      <c r="J18" s="17" t="s">
        <v>82</v>
      </c>
      <c r="K18" s="17" t="s">
        <v>73</v>
      </c>
      <c r="L18" s="19" t="s">
        <v>122</v>
      </c>
      <c r="M18" s="17" t="s">
        <v>75</v>
      </c>
    </row>
    <row r="19" spans="1:13" ht="34.5" customHeight="1" x14ac:dyDescent="0.25">
      <c r="A19" s="16">
        <v>18</v>
      </c>
      <c r="B19" s="17" t="s">
        <v>123</v>
      </c>
      <c r="C19" s="17" t="s">
        <v>80</v>
      </c>
      <c r="D19" s="17" t="s">
        <v>70</v>
      </c>
      <c r="E19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19" s="18">
        <v>46259</v>
      </c>
      <c r="G19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19" s="18">
        <v>46259</v>
      </c>
      <c r="I19" s="17" t="s">
        <v>85</v>
      </c>
      <c r="J19" s="17" t="s">
        <v>82</v>
      </c>
      <c r="K19" s="17" t="s">
        <v>73</v>
      </c>
      <c r="L19" s="19" t="s">
        <v>124</v>
      </c>
      <c r="M19" s="17" t="s">
        <v>75</v>
      </c>
    </row>
    <row r="20" spans="1:13" ht="34.5" customHeight="1" x14ac:dyDescent="0.25">
      <c r="A20" s="16">
        <v>19</v>
      </c>
      <c r="B20" s="17" t="s">
        <v>125</v>
      </c>
      <c r="C20" s="17" t="s">
        <v>88</v>
      </c>
      <c r="D20" s="17" t="s">
        <v>126</v>
      </c>
      <c r="E20" s="17" t="str">
        <f>IF(Table3[[#This Row],[Hazard Type RAW]]="NA",Table3[[#This Row],[BSC Type]],IF(Table3[[#This Row],[Hazard Type RAW]]="Others","Others - "&amp;Table3[[#This Row],[BSC Type]],Table3[[#This Row],[Hazard Type RAW]]))</f>
        <v>Defective Tools, Equipment or Materials</v>
      </c>
      <c r="F20" s="18">
        <v>46259</v>
      </c>
      <c r="G20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20" s="18">
        <v>46259</v>
      </c>
      <c r="I20" s="17" t="s">
        <v>85</v>
      </c>
      <c r="J20" s="17" t="s">
        <v>82</v>
      </c>
      <c r="K20" s="17" t="s">
        <v>73</v>
      </c>
      <c r="L20" s="19" t="s">
        <v>127</v>
      </c>
      <c r="M20" s="17" t="s">
        <v>75</v>
      </c>
    </row>
    <row r="21" spans="1:13" ht="34.5" customHeight="1" x14ac:dyDescent="0.25">
      <c r="A21" s="16">
        <v>20</v>
      </c>
      <c r="B21" s="17" t="s">
        <v>128</v>
      </c>
      <c r="C21" s="17" t="s">
        <v>88</v>
      </c>
      <c r="D21" s="17" t="s">
        <v>117</v>
      </c>
      <c r="E21" s="17" t="str">
        <f>IF(Table3[[#This Row],[Hazard Type RAW]]="NA",Table3[[#This Row],[BSC Type]],IF(Table3[[#This Row],[Hazard Type RAW]]="Others","Others - "&amp;Table3[[#This Row],[BSC Type]],Table3[[#This Row],[Hazard Type RAW]]))</f>
        <v>Others - Unsafe Condition</v>
      </c>
      <c r="F21" s="18">
        <v>46259</v>
      </c>
      <c r="G21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21" s="18">
        <v>46258</v>
      </c>
      <c r="I21" s="17" t="s">
        <v>81</v>
      </c>
      <c r="J21" s="17" t="s">
        <v>82</v>
      </c>
      <c r="K21" s="17" t="s">
        <v>73</v>
      </c>
      <c r="L21" s="19" t="s">
        <v>129</v>
      </c>
      <c r="M21" s="17" t="s">
        <v>75</v>
      </c>
    </row>
    <row r="22" spans="1:13" ht="34.5" customHeight="1" x14ac:dyDescent="0.25">
      <c r="A22" s="16">
        <v>21</v>
      </c>
      <c r="B22" s="17" t="s">
        <v>130</v>
      </c>
      <c r="C22" s="17" t="s">
        <v>80</v>
      </c>
      <c r="D22" s="17" t="s">
        <v>70</v>
      </c>
      <c r="E22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22" s="18">
        <v>46259</v>
      </c>
      <c r="G22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22" s="18">
        <v>46259</v>
      </c>
      <c r="I22" s="17" t="s">
        <v>81</v>
      </c>
      <c r="J22" s="17" t="s">
        <v>82</v>
      </c>
      <c r="K22" s="17" t="s">
        <v>73</v>
      </c>
      <c r="L22" s="19" t="s">
        <v>131</v>
      </c>
      <c r="M22" s="17" t="s">
        <v>75</v>
      </c>
    </row>
    <row r="23" spans="1:13" ht="34.5" customHeight="1" x14ac:dyDescent="0.25">
      <c r="A23" s="16">
        <v>22</v>
      </c>
      <c r="B23" s="17" t="s">
        <v>132</v>
      </c>
      <c r="C23" s="17" t="s">
        <v>80</v>
      </c>
      <c r="D23" s="17" t="s">
        <v>70</v>
      </c>
      <c r="E23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23" s="18">
        <v>46259</v>
      </c>
      <c r="G23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23" s="18">
        <v>46259</v>
      </c>
      <c r="I23" s="17" t="s">
        <v>81</v>
      </c>
      <c r="J23" s="17" t="s">
        <v>82</v>
      </c>
      <c r="K23" s="17" t="s">
        <v>73</v>
      </c>
      <c r="L23" s="19" t="s">
        <v>131</v>
      </c>
      <c r="M23" s="17" t="s">
        <v>75</v>
      </c>
    </row>
    <row r="24" spans="1:13" ht="34.5" customHeight="1" x14ac:dyDescent="0.25">
      <c r="A24" s="16">
        <v>23</v>
      </c>
      <c r="B24" s="17" t="s">
        <v>133</v>
      </c>
      <c r="C24" s="17" t="s">
        <v>80</v>
      </c>
      <c r="D24" s="17" t="s">
        <v>70</v>
      </c>
      <c r="E24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24" s="18">
        <v>46259</v>
      </c>
      <c r="G24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24" s="18">
        <v>46259</v>
      </c>
      <c r="I24" s="17" t="s">
        <v>81</v>
      </c>
      <c r="J24" s="17" t="s">
        <v>82</v>
      </c>
      <c r="K24" s="17" t="s">
        <v>73</v>
      </c>
      <c r="L24" s="19" t="s">
        <v>134</v>
      </c>
      <c r="M24" s="17" t="s">
        <v>75</v>
      </c>
    </row>
    <row r="25" spans="1:13" ht="34.5" customHeight="1" x14ac:dyDescent="0.25">
      <c r="A25" s="16">
        <v>24</v>
      </c>
      <c r="B25" s="17" t="s">
        <v>135</v>
      </c>
      <c r="C25" s="17" t="s">
        <v>80</v>
      </c>
      <c r="D25" s="17" t="s">
        <v>70</v>
      </c>
      <c r="E25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25" s="18">
        <v>46259</v>
      </c>
      <c r="G25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25" s="18">
        <v>46259</v>
      </c>
      <c r="I25" s="17" t="s">
        <v>111</v>
      </c>
      <c r="J25" s="17" t="s">
        <v>82</v>
      </c>
      <c r="K25" s="17" t="s">
        <v>73</v>
      </c>
      <c r="L25" s="19" t="s">
        <v>136</v>
      </c>
      <c r="M25" s="17" t="s">
        <v>75</v>
      </c>
    </row>
    <row r="26" spans="1:13" ht="34.5" customHeight="1" x14ac:dyDescent="0.25">
      <c r="A26" s="16">
        <v>25</v>
      </c>
      <c r="B26" s="17" t="s">
        <v>137</v>
      </c>
      <c r="C26" s="17" t="s">
        <v>88</v>
      </c>
      <c r="D26" s="17" t="s">
        <v>117</v>
      </c>
      <c r="E26" s="17" t="str">
        <f>IF(Table3[[#This Row],[Hazard Type RAW]]="NA",Table3[[#This Row],[BSC Type]],IF(Table3[[#This Row],[Hazard Type RAW]]="Others","Others - "&amp;Table3[[#This Row],[BSC Type]],Table3[[#This Row],[Hazard Type RAW]]))</f>
        <v>Others - Unsafe Condition</v>
      </c>
      <c r="F26" s="18">
        <v>46259</v>
      </c>
      <c r="G26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26" s="18">
        <v>46259</v>
      </c>
      <c r="I26" s="17" t="s">
        <v>81</v>
      </c>
      <c r="J26" s="17" t="s">
        <v>82</v>
      </c>
      <c r="K26" s="17" t="s">
        <v>73</v>
      </c>
      <c r="L26" s="19" t="s">
        <v>138</v>
      </c>
      <c r="M26" s="17" t="s">
        <v>75</v>
      </c>
    </row>
    <row r="27" spans="1:13" ht="34.5" customHeight="1" x14ac:dyDescent="0.25">
      <c r="A27" s="16">
        <v>26</v>
      </c>
      <c r="B27" s="17" t="s">
        <v>139</v>
      </c>
      <c r="C27" s="17" t="s">
        <v>69</v>
      </c>
      <c r="D27" s="17" t="s">
        <v>70</v>
      </c>
      <c r="E27" s="17" t="str">
        <f>IF(Table3[[#This Row],[Hazard Type RAW]]="NA",Table3[[#This Row],[BSC Type]],IF(Table3[[#This Row],[Hazard Type RAW]]="Others","Others - "&amp;Table3[[#This Row],[BSC Type]],Table3[[#This Row],[Hazard Type RAW]]))</f>
        <v>Suggestion for Improvement</v>
      </c>
      <c r="F27" s="18">
        <v>46259</v>
      </c>
      <c r="G27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27" s="18">
        <v>46259</v>
      </c>
      <c r="I27" s="17" t="s">
        <v>111</v>
      </c>
      <c r="J27" s="17" t="s">
        <v>82</v>
      </c>
      <c r="K27" s="17" t="s">
        <v>73</v>
      </c>
      <c r="L27" s="19" t="s">
        <v>140</v>
      </c>
      <c r="M27" s="17" t="s">
        <v>75</v>
      </c>
    </row>
    <row r="28" spans="1:13" ht="34.5" customHeight="1" x14ac:dyDescent="0.25">
      <c r="A28" s="16">
        <v>27</v>
      </c>
      <c r="B28" s="17" t="s">
        <v>141</v>
      </c>
      <c r="C28" s="17" t="s">
        <v>142</v>
      </c>
      <c r="D28" s="17" t="s">
        <v>143</v>
      </c>
      <c r="E28" s="17" t="str">
        <f>IF(Table3[[#This Row],[Hazard Type RAW]]="NA",Table3[[#This Row],[BSC Type]],IF(Table3[[#This Row],[Hazard Type RAW]]="Others","Others - "&amp;Table3[[#This Row],[BSC Type]],Table3[[#This Row],[Hazard Type RAW]]))</f>
        <v>Schedule Waste</v>
      </c>
      <c r="F28" s="18">
        <v>46259</v>
      </c>
      <c r="G28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28" s="18">
        <v>46259</v>
      </c>
      <c r="I28" s="17" t="s">
        <v>144</v>
      </c>
      <c r="J28" s="17" t="s">
        <v>82</v>
      </c>
      <c r="K28" s="17" t="s">
        <v>73</v>
      </c>
      <c r="L28" s="19" t="s">
        <v>145</v>
      </c>
      <c r="M28" s="17" t="s">
        <v>75</v>
      </c>
    </row>
    <row r="29" spans="1:13" ht="34.5" customHeight="1" x14ac:dyDescent="0.25">
      <c r="A29" s="16">
        <v>28</v>
      </c>
      <c r="B29" s="17" t="s">
        <v>146</v>
      </c>
      <c r="C29" s="17" t="s">
        <v>88</v>
      </c>
      <c r="D29" s="17" t="s">
        <v>89</v>
      </c>
      <c r="E29" s="17" t="str">
        <f>IF(Table3[[#This Row],[Hazard Type RAW]]="NA",Table3[[#This Row],[BSC Type]],IF(Table3[[#This Row],[Hazard Type RAW]]="Others","Others - "&amp;Table3[[#This Row],[BSC Type]],Table3[[#This Row],[Hazard Type RAW]]))</f>
        <v>Inadequate Warning System</v>
      </c>
      <c r="F29" s="18">
        <v>46259</v>
      </c>
      <c r="G29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29" s="18">
        <v>46259</v>
      </c>
      <c r="I29" s="17" t="s">
        <v>111</v>
      </c>
      <c r="J29" s="17" t="s">
        <v>82</v>
      </c>
      <c r="K29" s="17" t="s">
        <v>73</v>
      </c>
      <c r="L29" s="19" t="s">
        <v>147</v>
      </c>
      <c r="M29" s="17" t="s">
        <v>75</v>
      </c>
    </row>
    <row r="30" spans="1:13" ht="34.5" customHeight="1" x14ac:dyDescent="0.25">
      <c r="A30" s="16">
        <v>29</v>
      </c>
      <c r="B30" s="17" t="s">
        <v>148</v>
      </c>
      <c r="C30" s="17" t="s">
        <v>149</v>
      </c>
      <c r="D30" s="17" t="s">
        <v>70</v>
      </c>
      <c r="E30" s="17" t="str">
        <f>IF(Table3[[#This Row],[Hazard Type RAW]]="NA",Table3[[#This Row],[BSC Type]],IF(Table3[[#This Row],[Hazard Type RAW]]="Others","Others - "&amp;Table3[[#This Row],[BSC Type]],Table3[[#This Row],[Hazard Type RAW]]))</f>
        <v>Safe Act</v>
      </c>
      <c r="F30" s="18">
        <v>46259</v>
      </c>
      <c r="G30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30" s="18">
        <v>46259</v>
      </c>
      <c r="I30" s="17" t="s">
        <v>111</v>
      </c>
      <c r="J30" s="17" t="s">
        <v>82</v>
      </c>
      <c r="K30" s="17" t="s">
        <v>73</v>
      </c>
      <c r="L30" s="19" t="s">
        <v>150</v>
      </c>
      <c r="M30" s="17" t="s">
        <v>75</v>
      </c>
    </row>
    <row r="31" spans="1:13" ht="34.5" customHeight="1" x14ac:dyDescent="0.25">
      <c r="A31" s="16">
        <v>30</v>
      </c>
      <c r="B31" s="17" t="s">
        <v>151</v>
      </c>
      <c r="C31" s="17" t="s">
        <v>116</v>
      </c>
      <c r="D31" s="17" t="s">
        <v>152</v>
      </c>
      <c r="E31" s="17" t="str">
        <f>IF(Table3[[#This Row],[Hazard Type RAW]]="NA",Table3[[#This Row],[BSC Type]],IF(Table3[[#This Row],[Hazard Type RAW]]="Others","Others - "&amp;Table3[[#This Row],[BSC Type]],Table3[[#This Row],[Hazard Type RAW]]))</f>
        <v>Improper Lifting</v>
      </c>
      <c r="F31" s="18">
        <v>46259</v>
      </c>
      <c r="G31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31" s="18">
        <v>46259</v>
      </c>
      <c r="I31" s="17" t="s">
        <v>144</v>
      </c>
      <c r="J31" s="17" t="s">
        <v>82</v>
      </c>
      <c r="K31" s="17" t="s">
        <v>73</v>
      </c>
      <c r="L31" s="19" t="s">
        <v>153</v>
      </c>
      <c r="M31" s="17" t="s">
        <v>75</v>
      </c>
    </row>
    <row r="32" spans="1:13" ht="34.5" customHeight="1" x14ac:dyDescent="0.25">
      <c r="A32" s="16">
        <v>31</v>
      </c>
      <c r="B32" s="17" t="s">
        <v>154</v>
      </c>
      <c r="C32" s="17" t="s">
        <v>88</v>
      </c>
      <c r="D32" s="17" t="s">
        <v>99</v>
      </c>
      <c r="E32" s="17" t="str">
        <f>IF(Table3[[#This Row],[Hazard Type RAW]]="NA",Table3[[#This Row],[BSC Type]],IF(Table3[[#This Row],[Hazard Type RAW]]="Others","Others - "&amp;Table3[[#This Row],[BSC Type]],Table3[[#This Row],[Hazard Type RAW]]))</f>
        <v>Poor Housekeeping/Disorder</v>
      </c>
      <c r="F32" s="18">
        <v>46259</v>
      </c>
      <c r="G32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32" s="18">
        <v>46259</v>
      </c>
      <c r="I32" s="17" t="s">
        <v>111</v>
      </c>
      <c r="J32" s="17" t="s">
        <v>82</v>
      </c>
      <c r="K32" s="17" t="s">
        <v>73</v>
      </c>
      <c r="L32" s="19" t="s">
        <v>155</v>
      </c>
      <c r="M32" s="17" t="s">
        <v>75</v>
      </c>
    </row>
    <row r="33" spans="1:13" ht="34.5" customHeight="1" x14ac:dyDescent="0.25">
      <c r="A33" s="16">
        <v>32</v>
      </c>
      <c r="B33" s="17" t="s">
        <v>156</v>
      </c>
      <c r="C33" s="17" t="s">
        <v>88</v>
      </c>
      <c r="D33" s="17" t="s">
        <v>117</v>
      </c>
      <c r="E33" s="17" t="str">
        <f>IF(Table3[[#This Row],[Hazard Type RAW]]="NA",Table3[[#This Row],[BSC Type]],IF(Table3[[#This Row],[Hazard Type RAW]]="Others","Others - "&amp;Table3[[#This Row],[BSC Type]],Table3[[#This Row],[Hazard Type RAW]]))</f>
        <v>Others - Unsafe Condition</v>
      </c>
      <c r="F33" s="18">
        <v>46260</v>
      </c>
      <c r="G33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33" s="18">
        <v>46260</v>
      </c>
      <c r="I33" s="17" t="s">
        <v>81</v>
      </c>
      <c r="J33" s="17" t="s">
        <v>82</v>
      </c>
      <c r="K33" s="17" t="s">
        <v>73</v>
      </c>
      <c r="L33" s="19" t="s">
        <v>157</v>
      </c>
      <c r="M33" s="17" t="s">
        <v>75</v>
      </c>
    </row>
    <row r="34" spans="1:13" ht="34.5" customHeight="1" x14ac:dyDescent="0.25">
      <c r="A34" s="16">
        <v>33</v>
      </c>
      <c r="B34" s="17" t="s">
        <v>158</v>
      </c>
      <c r="C34" s="17" t="s">
        <v>88</v>
      </c>
      <c r="D34" s="17" t="s">
        <v>117</v>
      </c>
      <c r="E34" s="17" t="str">
        <f>IF(Table3[[#This Row],[Hazard Type RAW]]="NA",Table3[[#This Row],[BSC Type]],IF(Table3[[#This Row],[Hazard Type RAW]]="Others","Others - "&amp;Table3[[#This Row],[BSC Type]],Table3[[#This Row],[Hazard Type RAW]]))</f>
        <v>Others - Unsafe Condition</v>
      </c>
      <c r="F34" s="18">
        <v>46260</v>
      </c>
      <c r="G34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34" s="18">
        <v>46260</v>
      </c>
      <c r="I34" s="17" t="s">
        <v>81</v>
      </c>
      <c r="J34" s="17" t="s">
        <v>82</v>
      </c>
      <c r="K34" s="17" t="s">
        <v>73</v>
      </c>
      <c r="L34" s="19" t="s">
        <v>159</v>
      </c>
      <c r="M34" s="17" t="s">
        <v>75</v>
      </c>
    </row>
    <row r="35" spans="1:13" ht="34.5" customHeight="1" x14ac:dyDescent="0.25">
      <c r="A35" s="16">
        <v>34</v>
      </c>
      <c r="B35" s="17" t="s">
        <v>160</v>
      </c>
      <c r="C35" s="17" t="s">
        <v>69</v>
      </c>
      <c r="D35" s="17" t="s">
        <v>70</v>
      </c>
      <c r="E35" s="17" t="str">
        <f>IF(Table3[[#This Row],[Hazard Type RAW]]="NA",Table3[[#This Row],[BSC Type]],IF(Table3[[#This Row],[Hazard Type RAW]]="Others","Others - "&amp;Table3[[#This Row],[BSC Type]],Table3[[#This Row],[Hazard Type RAW]]))</f>
        <v>Suggestion for Improvement</v>
      </c>
      <c r="F35" s="18">
        <v>46260</v>
      </c>
      <c r="G35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35" s="18">
        <v>46260</v>
      </c>
      <c r="I35" s="17" t="s">
        <v>81</v>
      </c>
      <c r="J35" s="17" t="s">
        <v>82</v>
      </c>
      <c r="K35" s="17" t="s">
        <v>73</v>
      </c>
      <c r="L35" s="19" t="s">
        <v>161</v>
      </c>
      <c r="M35" s="17" t="s">
        <v>75</v>
      </c>
    </row>
    <row r="36" spans="1:13" ht="34.5" customHeight="1" x14ac:dyDescent="0.25">
      <c r="A36" s="16">
        <v>35</v>
      </c>
      <c r="B36" s="17" t="s">
        <v>162</v>
      </c>
      <c r="C36" s="17" t="s">
        <v>69</v>
      </c>
      <c r="D36" s="17" t="s">
        <v>70</v>
      </c>
      <c r="E36" s="17" t="str">
        <f>IF(Table3[[#This Row],[Hazard Type RAW]]="NA",Table3[[#This Row],[BSC Type]],IF(Table3[[#This Row],[Hazard Type RAW]]="Others","Others - "&amp;Table3[[#This Row],[BSC Type]],Table3[[#This Row],[Hazard Type RAW]]))</f>
        <v>Suggestion for Improvement</v>
      </c>
      <c r="F36" s="18">
        <v>46260</v>
      </c>
      <c r="G36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36" s="18">
        <v>46260</v>
      </c>
      <c r="I36" s="17" t="s">
        <v>111</v>
      </c>
      <c r="J36" s="17" t="s">
        <v>82</v>
      </c>
      <c r="K36" s="17" t="s">
        <v>73</v>
      </c>
      <c r="L36" s="19" t="s">
        <v>163</v>
      </c>
      <c r="M36" s="17" t="s">
        <v>75</v>
      </c>
    </row>
    <row r="37" spans="1:13" ht="34.5" customHeight="1" x14ac:dyDescent="0.25">
      <c r="A37" s="16">
        <v>36</v>
      </c>
      <c r="B37" s="17" t="s">
        <v>164</v>
      </c>
      <c r="C37" s="17" t="s">
        <v>88</v>
      </c>
      <c r="D37" s="17" t="s">
        <v>99</v>
      </c>
      <c r="E37" s="17" t="str">
        <f>IF(Table3[[#This Row],[Hazard Type RAW]]="NA",Table3[[#This Row],[BSC Type]],IF(Table3[[#This Row],[Hazard Type RAW]]="Others","Others - "&amp;Table3[[#This Row],[BSC Type]],Table3[[#This Row],[Hazard Type RAW]]))</f>
        <v>Poor Housekeeping/Disorder</v>
      </c>
      <c r="F37" s="18">
        <v>46260</v>
      </c>
      <c r="G37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37" s="18">
        <v>46260</v>
      </c>
      <c r="I37" s="17" t="s">
        <v>111</v>
      </c>
      <c r="J37" s="17" t="s">
        <v>82</v>
      </c>
      <c r="K37" s="17" t="s">
        <v>73</v>
      </c>
      <c r="L37" s="19" t="s">
        <v>165</v>
      </c>
      <c r="M37" s="17" t="s">
        <v>75</v>
      </c>
    </row>
    <row r="38" spans="1:13" ht="34.5" customHeight="1" x14ac:dyDescent="0.25">
      <c r="A38" s="16">
        <v>37</v>
      </c>
      <c r="B38" s="17" t="s">
        <v>166</v>
      </c>
      <c r="C38" s="17" t="s">
        <v>80</v>
      </c>
      <c r="D38" s="17" t="s">
        <v>70</v>
      </c>
      <c r="E38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38" s="18">
        <v>46260</v>
      </c>
      <c r="G38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38" s="18">
        <v>46261</v>
      </c>
      <c r="I38" s="17" t="s">
        <v>167</v>
      </c>
      <c r="J38" s="17" t="s">
        <v>168</v>
      </c>
      <c r="K38" s="17" t="s">
        <v>169</v>
      </c>
      <c r="L38" s="19" t="s">
        <v>170</v>
      </c>
      <c r="M38" s="17" t="s">
        <v>75</v>
      </c>
    </row>
    <row r="39" spans="1:13" ht="34.5" customHeight="1" x14ac:dyDescent="0.25">
      <c r="A39" s="16">
        <v>38</v>
      </c>
      <c r="B39" s="17" t="s">
        <v>171</v>
      </c>
      <c r="C39" s="17" t="s">
        <v>88</v>
      </c>
      <c r="D39" s="17" t="s">
        <v>117</v>
      </c>
      <c r="E39" s="17" t="str">
        <f>IF(Table3[[#This Row],[Hazard Type RAW]]="NA",Table3[[#This Row],[BSC Type]],IF(Table3[[#This Row],[Hazard Type RAW]]="Others","Others - "&amp;Table3[[#This Row],[BSC Type]],Table3[[#This Row],[Hazard Type RAW]]))</f>
        <v>Others - Unsafe Condition</v>
      </c>
      <c r="F39" s="18">
        <v>46261</v>
      </c>
      <c r="G39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39" s="18">
        <v>46260</v>
      </c>
      <c r="I39" s="17" t="s">
        <v>81</v>
      </c>
      <c r="J39" s="17" t="s">
        <v>82</v>
      </c>
      <c r="K39" s="17" t="s">
        <v>73</v>
      </c>
      <c r="L39" s="19" t="s">
        <v>172</v>
      </c>
      <c r="M39" s="17" t="s">
        <v>75</v>
      </c>
    </row>
    <row r="40" spans="1:13" ht="34.5" customHeight="1" x14ac:dyDescent="0.25">
      <c r="A40" s="16">
        <v>39</v>
      </c>
      <c r="B40" s="17" t="s">
        <v>173</v>
      </c>
      <c r="C40" s="17" t="s">
        <v>69</v>
      </c>
      <c r="D40" s="17" t="s">
        <v>70</v>
      </c>
      <c r="E40" s="17" t="str">
        <f>IF(Table3[[#This Row],[Hazard Type RAW]]="NA",Table3[[#This Row],[BSC Type]],IF(Table3[[#This Row],[Hazard Type RAW]]="Others","Others - "&amp;Table3[[#This Row],[BSC Type]],Table3[[#This Row],[Hazard Type RAW]]))</f>
        <v>Suggestion for Improvement</v>
      </c>
      <c r="F40" s="18">
        <v>46261</v>
      </c>
      <c r="G40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40" s="18">
        <v>46261</v>
      </c>
      <c r="I40" s="17" t="s">
        <v>174</v>
      </c>
      <c r="J40" s="17" t="s">
        <v>72</v>
      </c>
      <c r="K40" s="17" t="s">
        <v>175</v>
      </c>
      <c r="L40" s="19" t="s">
        <v>176</v>
      </c>
      <c r="M40" s="17" t="s">
        <v>75</v>
      </c>
    </row>
    <row r="41" spans="1:13" ht="34.5" customHeight="1" x14ac:dyDescent="0.25">
      <c r="A41" s="16">
        <v>40</v>
      </c>
      <c r="B41" s="17" t="s">
        <v>177</v>
      </c>
      <c r="C41" s="17" t="s">
        <v>80</v>
      </c>
      <c r="D41" s="17" t="s">
        <v>70</v>
      </c>
      <c r="E41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41" s="18">
        <v>46261</v>
      </c>
      <c r="G41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41" s="18">
        <v>46254</v>
      </c>
      <c r="I41" s="17" t="s">
        <v>174</v>
      </c>
      <c r="J41" s="17" t="s">
        <v>72</v>
      </c>
      <c r="K41" s="17" t="s">
        <v>175</v>
      </c>
      <c r="L41" s="20" t="s">
        <v>178</v>
      </c>
      <c r="M41" s="17" t="s">
        <v>75</v>
      </c>
    </row>
    <row r="42" spans="1:13" ht="34.5" customHeight="1" x14ac:dyDescent="0.25">
      <c r="A42" s="16">
        <v>41</v>
      </c>
      <c r="B42" s="17" t="s">
        <v>179</v>
      </c>
      <c r="C42" s="17" t="s">
        <v>116</v>
      </c>
      <c r="D42" s="17" t="s">
        <v>180</v>
      </c>
      <c r="E42" s="17" t="str">
        <f>IF(Table3[[#This Row],[Hazard Type RAW]]="NA",Table3[[#This Row],[BSC Type]],IF(Table3[[#This Row],[Hazard Type RAW]]="Others","Others - "&amp;Table3[[#This Row],[BSC Type]],Table3[[#This Row],[Hazard Type RAW]]))</f>
        <v>Failing to Use PPE Properly</v>
      </c>
      <c r="F42" s="18">
        <v>46261</v>
      </c>
      <c r="G42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42" s="18">
        <v>46204</v>
      </c>
      <c r="I42" s="17" t="s">
        <v>174</v>
      </c>
      <c r="J42" s="17" t="s">
        <v>72</v>
      </c>
      <c r="K42" s="17" t="s">
        <v>175</v>
      </c>
      <c r="L42" s="19" t="s">
        <v>181</v>
      </c>
      <c r="M42" s="17" t="s">
        <v>75</v>
      </c>
    </row>
    <row r="43" spans="1:13" ht="34.5" customHeight="1" x14ac:dyDescent="0.25">
      <c r="A43" s="16">
        <v>42</v>
      </c>
      <c r="B43" s="17" t="s">
        <v>182</v>
      </c>
      <c r="C43" s="17" t="s">
        <v>116</v>
      </c>
      <c r="D43" s="17" t="s">
        <v>183</v>
      </c>
      <c r="E43" s="17" t="str">
        <f>IF(Table3[[#This Row],[Hazard Type RAW]]="NA",Table3[[#This Row],[BSC Type]],IF(Table3[[#This Row],[Hazard Type RAW]]="Others","Others - "&amp;Table3[[#This Row],[BSC Type]],Table3[[#This Row],[Hazard Type RAW]]))</f>
        <v>Inadequate or Improper Protective Equipment</v>
      </c>
      <c r="F43" s="18">
        <v>46262</v>
      </c>
      <c r="G43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W20 (22/8 - 28/8)</v>
      </c>
      <c r="H43" s="18">
        <v>46262</v>
      </c>
      <c r="I43" s="17" t="s">
        <v>92</v>
      </c>
      <c r="J43" s="17" t="s">
        <v>82</v>
      </c>
      <c r="K43" s="17" t="s">
        <v>73</v>
      </c>
      <c r="L43" s="19" t="s">
        <v>184</v>
      </c>
      <c r="M43" s="17" t="s">
        <v>75</v>
      </c>
    </row>
    <row r="44" spans="1:13" ht="34.5" customHeight="1" x14ac:dyDescent="0.25">
      <c r="A44" s="16">
        <v>43</v>
      </c>
      <c r="B44" s="17" t="s">
        <v>185</v>
      </c>
      <c r="C44" s="17" t="s">
        <v>69</v>
      </c>
      <c r="D44" s="17" t="s">
        <v>70</v>
      </c>
      <c r="E44" s="17" t="str">
        <f>IF(Table3[[#This Row],[Hazard Type RAW]]="NA",Table3[[#This Row],[BSC Type]],IF(Table3[[#This Row],[Hazard Type RAW]]="Others","Others - "&amp;Table3[[#This Row],[BSC Type]],Table3[[#This Row],[Hazard Type RAW]]))</f>
        <v>Suggestion for Improvement</v>
      </c>
      <c r="F44" s="18">
        <v>46267</v>
      </c>
      <c r="G44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W21 (29/8 - 4/9)</v>
      </c>
      <c r="H44" s="18">
        <v>46267</v>
      </c>
      <c r="I44" s="17" t="s">
        <v>71</v>
      </c>
      <c r="J44" s="17" t="s">
        <v>72</v>
      </c>
      <c r="K44" s="17" t="s">
        <v>73</v>
      </c>
      <c r="L44" s="19" t="s">
        <v>186</v>
      </c>
      <c r="M44" s="17" t="s">
        <v>187</v>
      </c>
    </row>
    <row r="45" spans="1:13" ht="34.5" customHeight="1" x14ac:dyDescent="0.25">
      <c r="A45" s="16">
        <v>44</v>
      </c>
      <c r="B45" s="17" t="s">
        <v>188</v>
      </c>
      <c r="C45" s="17" t="s">
        <v>88</v>
      </c>
      <c r="D45" s="17" t="s">
        <v>89</v>
      </c>
      <c r="E45" s="17" t="str">
        <f>IF(Table3[[#This Row],[Hazard Type RAW]]="NA",Table3[[#This Row],[BSC Type]],IF(Table3[[#This Row],[Hazard Type RAW]]="Others","Others - "&amp;Table3[[#This Row],[BSC Type]],Table3[[#This Row],[Hazard Type RAW]]))</f>
        <v>Inadequate Warning System</v>
      </c>
      <c r="F45" s="18">
        <v>46269</v>
      </c>
      <c r="G45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W21 (29/8 - 4/9)</v>
      </c>
      <c r="H45" s="18">
        <v>46269</v>
      </c>
      <c r="I45" s="17" t="s">
        <v>189</v>
      </c>
      <c r="J45" s="17" t="s">
        <v>72</v>
      </c>
      <c r="K45" s="17" t="s">
        <v>175</v>
      </c>
      <c r="L45" s="19" t="s">
        <v>190</v>
      </c>
      <c r="M45" s="17" t="s">
        <v>75</v>
      </c>
    </row>
    <row r="46" spans="1:13" ht="34.5" customHeight="1" x14ac:dyDescent="0.25">
      <c r="A46" s="16">
        <v>45</v>
      </c>
      <c r="B46" s="17" t="s">
        <v>191</v>
      </c>
      <c r="C46" s="17" t="s">
        <v>77</v>
      </c>
      <c r="D46" s="17" t="s">
        <v>70</v>
      </c>
      <c r="E46" s="17" t="str">
        <f>IF(Table3[[#This Row],[Hazard Type RAW]]="NA",Table3[[#This Row],[BSC Type]],IF(Table3[[#This Row],[Hazard Type RAW]]="Others","Others - "&amp;Table3[[#This Row],[BSC Type]],Table3[[#This Row],[Hazard Type RAW]]))</f>
        <v>Safe Condition</v>
      </c>
      <c r="F46" s="18">
        <v>46269</v>
      </c>
      <c r="G46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W21 (29/8 - 4/9)</v>
      </c>
      <c r="H46" s="18">
        <v>46269</v>
      </c>
      <c r="I46" s="17" t="s">
        <v>192</v>
      </c>
      <c r="J46" s="17" t="s">
        <v>82</v>
      </c>
      <c r="K46" s="17" t="s">
        <v>193</v>
      </c>
      <c r="L46" s="19" t="s">
        <v>194</v>
      </c>
      <c r="M46" s="17" t="s">
        <v>75</v>
      </c>
    </row>
    <row r="47" spans="1:13" ht="34.5" customHeight="1" x14ac:dyDescent="0.25">
      <c r="A47" s="16">
        <v>46</v>
      </c>
      <c r="B47" s="17" t="s">
        <v>195</v>
      </c>
      <c r="C47" s="17" t="s">
        <v>77</v>
      </c>
      <c r="D47" s="17" t="s">
        <v>70</v>
      </c>
      <c r="E47" s="17" t="str">
        <f>IF(Table3[[#This Row],[Hazard Type RAW]]="NA",Table3[[#This Row],[BSC Type]],IF(Table3[[#This Row],[Hazard Type RAW]]="Others","Others - "&amp;Table3[[#This Row],[BSC Type]],Table3[[#This Row],[Hazard Type RAW]]))</f>
        <v>Safe Condition</v>
      </c>
      <c r="F47" s="18">
        <v>46269</v>
      </c>
      <c r="G47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W21 (29/8 - 4/9)</v>
      </c>
      <c r="H47" s="18">
        <v>46269</v>
      </c>
      <c r="I47" s="17" t="s">
        <v>196</v>
      </c>
      <c r="J47" s="17" t="s">
        <v>82</v>
      </c>
      <c r="K47" s="17" t="s">
        <v>73</v>
      </c>
      <c r="L47" s="19" t="s">
        <v>197</v>
      </c>
      <c r="M47" s="17" t="s">
        <v>75</v>
      </c>
    </row>
    <row r="48" spans="1:13" ht="34.5" customHeight="1" x14ac:dyDescent="0.25">
      <c r="A48" s="16">
        <v>47</v>
      </c>
      <c r="B48" s="17" t="s">
        <v>198</v>
      </c>
      <c r="C48" s="17" t="s">
        <v>88</v>
      </c>
      <c r="D48" s="17" t="s">
        <v>89</v>
      </c>
      <c r="E48" s="17" t="str">
        <f>IF(Table3[[#This Row],[Hazard Type RAW]]="NA",Table3[[#This Row],[BSC Type]],IF(Table3[[#This Row],[Hazard Type RAW]]="Others","Others - "&amp;Table3[[#This Row],[BSC Type]],Table3[[#This Row],[Hazard Type RAW]]))</f>
        <v>Inadequate Warning System</v>
      </c>
      <c r="F48" s="18">
        <v>46269</v>
      </c>
      <c r="G48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W21 (29/8 - 4/9)</v>
      </c>
      <c r="H48" s="18">
        <v>46269</v>
      </c>
      <c r="I48" s="17" t="s">
        <v>199</v>
      </c>
      <c r="J48" s="17" t="s">
        <v>82</v>
      </c>
      <c r="K48" s="17" t="s">
        <v>193</v>
      </c>
      <c r="L48" s="19" t="s">
        <v>200</v>
      </c>
      <c r="M48" s="17" t="s">
        <v>75</v>
      </c>
    </row>
    <row r="49" spans="1:13" ht="34.5" customHeight="1" x14ac:dyDescent="0.25">
      <c r="A49" s="16">
        <v>48</v>
      </c>
      <c r="B49" s="17" t="s">
        <v>201</v>
      </c>
      <c r="C49" s="17" t="s">
        <v>88</v>
      </c>
      <c r="D49" s="17" t="s">
        <v>89</v>
      </c>
      <c r="E49" s="17" t="str">
        <f>IF(Table3[[#This Row],[Hazard Type RAW]]="NA",Table3[[#This Row],[BSC Type]],IF(Table3[[#This Row],[Hazard Type RAW]]="Others","Others - "&amp;Table3[[#This Row],[BSC Type]],Table3[[#This Row],[Hazard Type RAW]]))</f>
        <v>Inadequate Warning System</v>
      </c>
      <c r="F49" s="18">
        <v>46269</v>
      </c>
      <c r="G49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W21 (29/8 - 4/9)</v>
      </c>
      <c r="H49" s="18">
        <v>46269</v>
      </c>
      <c r="I49" s="17" t="s">
        <v>199</v>
      </c>
      <c r="J49" s="17" t="s">
        <v>82</v>
      </c>
      <c r="K49" s="17" t="s">
        <v>193</v>
      </c>
      <c r="L49" s="19" t="s">
        <v>202</v>
      </c>
      <c r="M49" s="17" t="s">
        <v>75</v>
      </c>
    </row>
    <row r="50" spans="1:13" ht="34.5" customHeight="1" x14ac:dyDescent="0.25">
      <c r="A50" s="16">
        <v>49</v>
      </c>
      <c r="B50" s="17" t="s">
        <v>203</v>
      </c>
      <c r="C50" s="17" t="s">
        <v>77</v>
      </c>
      <c r="D50" s="17" t="s">
        <v>70</v>
      </c>
      <c r="E50" s="17" t="str">
        <f>IF(Table3[[#This Row],[Hazard Type RAW]]="NA",Table3[[#This Row],[BSC Type]],IF(Table3[[#This Row],[Hazard Type RAW]]="Others","Others - "&amp;Table3[[#This Row],[BSC Type]],Table3[[#This Row],[Hazard Type RAW]]))</f>
        <v>Safe Condition</v>
      </c>
      <c r="F50" s="18">
        <v>46269</v>
      </c>
      <c r="G50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W21 (29/8 - 4/9)</v>
      </c>
      <c r="H50" s="18">
        <v>46269</v>
      </c>
      <c r="I50" s="17" t="s">
        <v>199</v>
      </c>
      <c r="J50" s="17" t="s">
        <v>82</v>
      </c>
      <c r="K50" s="17" t="s">
        <v>193</v>
      </c>
      <c r="L50" s="19" t="s">
        <v>204</v>
      </c>
      <c r="M50" s="17" t="s">
        <v>75</v>
      </c>
    </row>
    <row r="51" spans="1:13" ht="34.5" customHeight="1" x14ac:dyDescent="0.25">
      <c r="A51" s="16">
        <v>50</v>
      </c>
      <c r="B51" s="17" t="s">
        <v>205</v>
      </c>
      <c r="C51" s="17" t="s">
        <v>77</v>
      </c>
      <c r="D51" s="17" t="s">
        <v>70</v>
      </c>
      <c r="E51" s="17" t="str">
        <f>IF(Table3[[#This Row],[Hazard Type RAW]]="NA",Table3[[#This Row],[BSC Type]],IF(Table3[[#This Row],[Hazard Type RAW]]="Others","Others - "&amp;Table3[[#This Row],[BSC Type]],Table3[[#This Row],[Hazard Type RAW]]))</f>
        <v>Safe Condition</v>
      </c>
      <c r="F51" s="18">
        <v>46272</v>
      </c>
      <c r="G51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W22 (5/9 - 11/9)</v>
      </c>
      <c r="H51" s="18">
        <v>46269</v>
      </c>
      <c r="I51" s="17" t="s">
        <v>206</v>
      </c>
      <c r="J51" s="17" t="s">
        <v>72</v>
      </c>
      <c r="K51" s="17" t="s">
        <v>175</v>
      </c>
      <c r="L51" s="19" t="s">
        <v>207</v>
      </c>
      <c r="M51" s="17" t="s">
        <v>75</v>
      </c>
    </row>
    <row r="52" spans="1:13" ht="34.5" customHeight="1" x14ac:dyDescent="0.25">
      <c r="A52" s="16">
        <v>51</v>
      </c>
      <c r="B52" s="17" t="s">
        <v>208</v>
      </c>
      <c r="C52" s="17" t="s">
        <v>77</v>
      </c>
      <c r="D52" s="17" t="s">
        <v>70</v>
      </c>
      <c r="E52" s="17" t="str">
        <f>IF(Table3[[#This Row],[Hazard Type RAW]]="NA",Table3[[#This Row],[BSC Type]],IF(Table3[[#This Row],[Hazard Type RAW]]="Others","Others - "&amp;Table3[[#This Row],[BSC Type]],Table3[[#This Row],[Hazard Type RAW]]))</f>
        <v>Safe Condition</v>
      </c>
      <c r="F52" s="18">
        <v>46272</v>
      </c>
      <c r="G52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W22 (5/9 - 11/9)</v>
      </c>
      <c r="H52" s="18">
        <v>46269</v>
      </c>
      <c r="I52" s="17" t="s">
        <v>189</v>
      </c>
      <c r="J52" s="17" t="s">
        <v>72</v>
      </c>
      <c r="K52" s="17" t="s">
        <v>175</v>
      </c>
      <c r="L52" s="19" t="s">
        <v>209</v>
      </c>
      <c r="M52" s="17" t="s">
        <v>75</v>
      </c>
    </row>
    <row r="53" spans="1:13" ht="34.5" customHeight="1" x14ac:dyDescent="0.25">
      <c r="A53" s="16">
        <v>52</v>
      </c>
      <c r="B53" s="17" t="s">
        <v>210</v>
      </c>
      <c r="C53" s="17" t="s">
        <v>88</v>
      </c>
      <c r="D53" s="17" t="s">
        <v>117</v>
      </c>
      <c r="E53" s="17" t="str">
        <f>IF(Table3[[#This Row],[Hazard Type RAW]]="NA",Table3[[#This Row],[BSC Type]],IF(Table3[[#This Row],[Hazard Type RAW]]="Others","Others - "&amp;Table3[[#This Row],[BSC Type]],Table3[[#This Row],[Hazard Type RAW]]))</f>
        <v>Others - Unsafe Condition</v>
      </c>
      <c r="F53" s="18">
        <v>46272</v>
      </c>
      <c r="G53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W22 (5/9 - 11/9)</v>
      </c>
      <c r="H53" s="18">
        <v>46272</v>
      </c>
      <c r="I53" s="17" t="s">
        <v>199</v>
      </c>
      <c r="J53" s="17" t="s">
        <v>82</v>
      </c>
      <c r="K53" s="17" t="s">
        <v>193</v>
      </c>
      <c r="L53" s="19" t="s">
        <v>70</v>
      </c>
      <c r="M53" s="17" t="s">
        <v>75</v>
      </c>
    </row>
    <row r="54" spans="1:13" ht="34.5" customHeight="1" x14ac:dyDescent="0.25">
      <c r="A54" s="16">
        <v>53</v>
      </c>
      <c r="B54" s="17" t="s">
        <v>211</v>
      </c>
      <c r="C54" s="17" t="s">
        <v>88</v>
      </c>
      <c r="D54" s="17" t="s">
        <v>117</v>
      </c>
      <c r="E54" s="17" t="str">
        <f>IF(Table3[[#This Row],[Hazard Type RAW]]="NA",Table3[[#This Row],[BSC Type]],IF(Table3[[#This Row],[Hazard Type RAW]]="Others","Others - "&amp;Table3[[#This Row],[BSC Type]],Table3[[#This Row],[Hazard Type RAW]]))</f>
        <v>Others - Unsafe Condition</v>
      </c>
      <c r="F54" s="18">
        <v>46273</v>
      </c>
      <c r="G54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W22 (5/9 - 11/9)</v>
      </c>
      <c r="H54" s="18">
        <v>46273</v>
      </c>
      <c r="I54" s="17" t="s">
        <v>85</v>
      </c>
      <c r="J54" s="17" t="s">
        <v>82</v>
      </c>
      <c r="K54" s="17" t="s">
        <v>73</v>
      </c>
      <c r="L54" s="19" t="s">
        <v>212</v>
      </c>
      <c r="M54" s="17" t="s">
        <v>187</v>
      </c>
    </row>
    <row r="55" spans="1:13" ht="34.5" customHeight="1" x14ac:dyDescent="0.25">
      <c r="A55" s="16">
        <v>54</v>
      </c>
      <c r="B55" s="17" t="s">
        <v>213</v>
      </c>
      <c r="C55" s="17" t="s">
        <v>80</v>
      </c>
      <c r="D55" s="17" t="s">
        <v>70</v>
      </c>
      <c r="E55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55" s="18">
        <v>46273</v>
      </c>
      <c r="G55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W22 (5/9 - 11/9)</v>
      </c>
      <c r="H55" s="18">
        <v>46273</v>
      </c>
      <c r="I55" s="17" t="s">
        <v>214</v>
      </c>
      <c r="J55" s="17" t="s">
        <v>82</v>
      </c>
      <c r="K55" s="17" t="s">
        <v>175</v>
      </c>
      <c r="L55" s="19" t="s">
        <v>215</v>
      </c>
      <c r="M55" s="17" t="s">
        <v>187</v>
      </c>
    </row>
    <row r="56" spans="1:13" ht="34.5" customHeight="1" x14ac:dyDescent="0.25">
      <c r="A56" s="16">
        <v>55</v>
      </c>
      <c r="B56" s="21" t="s">
        <v>216</v>
      </c>
      <c r="C56" s="17" t="s">
        <v>149</v>
      </c>
      <c r="D56" s="17" t="s">
        <v>70</v>
      </c>
      <c r="E56" s="17" t="str">
        <f>IF(Table3[[#This Row],[Hazard Type RAW]]="NA",Table3[[#This Row],[BSC Type]],IF(Table3[[#This Row],[Hazard Type RAW]]="Others","Others - "&amp;Table3[[#This Row],[BSC Type]],Table3[[#This Row],[Hazard Type RAW]]))</f>
        <v>Safe Act</v>
      </c>
      <c r="F56" s="18">
        <v>46273</v>
      </c>
      <c r="G56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W22 (5/9 - 11/9)</v>
      </c>
      <c r="H56" s="18">
        <v>46273</v>
      </c>
      <c r="I56" s="17" t="s">
        <v>217</v>
      </c>
      <c r="J56" s="17" t="s">
        <v>168</v>
      </c>
      <c r="K56" s="17" t="s">
        <v>169</v>
      </c>
      <c r="L56" s="19" t="s">
        <v>218</v>
      </c>
      <c r="M56" s="17" t="s">
        <v>187</v>
      </c>
    </row>
    <row r="57" spans="1:13" ht="34.5" customHeight="1" x14ac:dyDescent="0.25">
      <c r="A57" s="16">
        <v>56</v>
      </c>
      <c r="B57" s="21" t="s">
        <v>219</v>
      </c>
      <c r="C57" s="17" t="s">
        <v>116</v>
      </c>
      <c r="D57" s="17" t="s">
        <v>180</v>
      </c>
      <c r="E57" s="17" t="str">
        <f>IF(Table3[[#This Row],[Hazard Type RAW]]="NA",Table3[[#This Row],[BSC Type]],IF(Table3[[#This Row],[Hazard Type RAW]]="Others","Others - "&amp;Table3[[#This Row],[BSC Type]],Table3[[#This Row],[Hazard Type RAW]]))</f>
        <v>Failing to Use PPE Properly</v>
      </c>
      <c r="F57" s="18">
        <v>46273</v>
      </c>
      <c r="G57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W22 (5/9 - 11/9)</v>
      </c>
      <c r="H57" s="18">
        <v>46273</v>
      </c>
      <c r="I57" s="17" t="s">
        <v>220</v>
      </c>
      <c r="J57" s="17" t="s">
        <v>82</v>
      </c>
      <c r="K57" s="17" t="s">
        <v>169</v>
      </c>
      <c r="L57" s="19" t="s">
        <v>221</v>
      </c>
      <c r="M57" s="17" t="s">
        <v>187</v>
      </c>
    </row>
    <row r="58" spans="1:13" ht="34.5" customHeight="1" x14ac:dyDescent="0.25">
      <c r="A58" s="16">
        <v>57</v>
      </c>
      <c r="B58" s="21" t="s">
        <v>222</v>
      </c>
      <c r="C58" s="17" t="s">
        <v>69</v>
      </c>
      <c r="D58" s="17" t="s">
        <v>70</v>
      </c>
      <c r="E58" s="17" t="str">
        <f>IF(Table3[[#This Row],[Hazard Type RAW]]="NA",Table3[[#This Row],[BSC Type]],IF(Table3[[#This Row],[Hazard Type RAW]]="Others","Others - "&amp;Table3[[#This Row],[BSC Type]],Table3[[#This Row],[Hazard Type RAW]]))</f>
        <v>Suggestion for Improvement</v>
      </c>
      <c r="F58" s="18">
        <v>46273</v>
      </c>
      <c r="G58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W22 (5/9 - 11/9)</v>
      </c>
      <c r="H58" s="18">
        <v>46269</v>
      </c>
      <c r="I58" s="17" t="s">
        <v>223</v>
      </c>
      <c r="J58" s="17" t="s">
        <v>82</v>
      </c>
      <c r="K58" s="17" t="s">
        <v>169</v>
      </c>
      <c r="L58" s="19" t="s">
        <v>224</v>
      </c>
      <c r="M58" s="17" t="s">
        <v>187</v>
      </c>
    </row>
    <row r="59" spans="1:13" ht="34.5" customHeight="1" x14ac:dyDescent="0.25">
      <c r="A59" s="16">
        <v>58</v>
      </c>
      <c r="B59" s="21" t="s">
        <v>225</v>
      </c>
      <c r="C59" s="17" t="s">
        <v>88</v>
      </c>
      <c r="D59" s="17" t="s">
        <v>117</v>
      </c>
      <c r="E59" s="17" t="str">
        <f>IF(Table3[[#This Row],[Hazard Type RAW]]="NA",Table3[[#This Row],[BSC Type]],IF(Table3[[#This Row],[Hazard Type RAW]]="Others","Others - "&amp;Table3[[#This Row],[BSC Type]],Table3[[#This Row],[Hazard Type RAW]]))</f>
        <v>Others - Unsafe Condition</v>
      </c>
      <c r="F59" s="18">
        <v>46273</v>
      </c>
      <c r="G59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W22 (5/9 - 11/9)</v>
      </c>
      <c r="H59" s="18">
        <v>46273</v>
      </c>
      <c r="I59" s="17" t="s">
        <v>85</v>
      </c>
      <c r="J59" s="17" t="s">
        <v>82</v>
      </c>
      <c r="K59" s="17" t="s">
        <v>73</v>
      </c>
      <c r="L59" s="19" t="s">
        <v>212</v>
      </c>
      <c r="M59" s="17" t="s">
        <v>187</v>
      </c>
    </row>
    <row r="60" spans="1:13" ht="34.5" customHeight="1" x14ac:dyDescent="0.25">
      <c r="A60" s="16">
        <v>59</v>
      </c>
      <c r="B60" s="21" t="s">
        <v>226</v>
      </c>
      <c r="C60" s="17" t="s">
        <v>77</v>
      </c>
      <c r="D60" s="17" t="s">
        <v>70</v>
      </c>
      <c r="E60" s="17" t="str">
        <f>IF(Table3[[#This Row],[Hazard Type RAW]]="NA",Table3[[#This Row],[BSC Type]],IF(Table3[[#This Row],[Hazard Type RAW]]="Others","Others - "&amp;Table3[[#This Row],[BSC Type]],Table3[[#This Row],[Hazard Type RAW]]))</f>
        <v>Safe Condition</v>
      </c>
      <c r="F60" s="18">
        <v>46273</v>
      </c>
      <c r="G60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W22 (5/9 - 11/9)</v>
      </c>
      <c r="H60" s="18">
        <v>46269</v>
      </c>
      <c r="I60" s="17" t="s">
        <v>227</v>
      </c>
      <c r="J60" s="17" t="s">
        <v>168</v>
      </c>
      <c r="K60" s="17" t="s">
        <v>169</v>
      </c>
      <c r="L60" s="19" t="s">
        <v>228</v>
      </c>
      <c r="M60" s="17" t="s">
        <v>187</v>
      </c>
    </row>
    <row r="61" spans="1:13" ht="34.5" customHeight="1" x14ac:dyDescent="0.25">
      <c r="A61" s="16">
        <v>60</v>
      </c>
      <c r="B61" s="21" t="s">
        <v>229</v>
      </c>
      <c r="C61" s="17" t="s">
        <v>88</v>
      </c>
      <c r="D61" s="17" t="s">
        <v>89</v>
      </c>
      <c r="E61" s="17" t="str">
        <f>IF(Table3[[#This Row],[Hazard Type RAW]]="NA",Table3[[#This Row],[BSC Type]],IF(Table3[[#This Row],[Hazard Type RAW]]="Others","Others - "&amp;Table3[[#This Row],[BSC Type]],Table3[[#This Row],[Hazard Type RAW]]))</f>
        <v>Inadequate Warning System</v>
      </c>
      <c r="F61" s="18">
        <v>46273</v>
      </c>
      <c r="G61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W22 (5/9 - 11/9)</v>
      </c>
      <c r="H61" s="18">
        <v>46273</v>
      </c>
      <c r="I61" s="17" t="s">
        <v>230</v>
      </c>
      <c r="J61" s="17" t="s">
        <v>82</v>
      </c>
      <c r="K61" s="17" t="s">
        <v>193</v>
      </c>
      <c r="L61" s="19" t="s">
        <v>231</v>
      </c>
      <c r="M61" s="17" t="s">
        <v>187</v>
      </c>
    </row>
    <row r="62" spans="1:13" ht="34.5" customHeight="1" x14ac:dyDescent="0.25">
      <c r="A62" s="16">
        <v>61</v>
      </c>
      <c r="B62" s="21" t="s">
        <v>232</v>
      </c>
      <c r="C62" s="17" t="s">
        <v>88</v>
      </c>
      <c r="D62" s="17" t="s">
        <v>117</v>
      </c>
      <c r="E62" s="17" t="str">
        <f>IF(Table3[[#This Row],[Hazard Type RAW]]="NA",Table3[[#This Row],[BSC Type]],IF(Table3[[#This Row],[Hazard Type RAW]]="Others","Others - "&amp;Table3[[#This Row],[BSC Type]],Table3[[#This Row],[Hazard Type RAW]]))</f>
        <v>Others - Unsafe Condition</v>
      </c>
      <c r="F62" s="18">
        <v>46273</v>
      </c>
      <c r="G62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W22 (5/9 - 11/9)</v>
      </c>
      <c r="H62" s="18">
        <v>46273</v>
      </c>
      <c r="I62" s="17" t="s">
        <v>81</v>
      </c>
      <c r="J62" s="17" t="s">
        <v>82</v>
      </c>
      <c r="K62" s="17" t="s">
        <v>73</v>
      </c>
      <c r="L62" s="19" t="s">
        <v>233</v>
      </c>
      <c r="M62" s="17" t="s">
        <v>187</v>
      </c>
    </row>
    <row r="63" spans="1:13" ht="34.5" customHeight="1" x14ac:dyDescent="0.25">
      <c r="A63" s="16">
        <v>62</v>
      </c>
      <c r="B63" s="21" t="s">
        <v>234</v>
      </c>
      <c r="C63" s="17" t="s">
        <v>88</v>
      </c>
      <c r="D63" s="17" t="s">
        <v>99</v>
      </c>
      <c r="E63" s="17" t="str">
        <f>IF(Table3[[#This Row],[Hazard Type RAW]]="NA",Table3[[#This Row],[BSC Type]],IF(Table3[[#This Row],[Hazard Type RAW]]="Others","Others - "&amp;Table3[[#This Row],[BSC Type]],Table3[[#This Row],[Hazard Type RAW]]))</f>
        <v>Poor Housekeeping/Disorder</v>
      </c>
      <c r="F63" s="18">
        <v>46273</v>
      </c>
      <c r="G63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W22 (5/9 - 11/9)</v>
      </c>
      <c r="H63" s="18">
        <v>46273</v>
      </c>
      <c r="I63" s="17" t="s">
        <v>81</v>
      </c>
      <c r="J63" s="17" t="s">
        <v>82</v>
      </c>
      <c r="K63" s="17" t="s">
        <v>73</v>
      </c>
      <c r="L63" s="19" t="s">
        <v>235</v>
      </c>
      <c r="M63" s="17" t="s">
        <v>187</v>
      </c>
    </row>
    <row r="64" spans="1:13" ht="34.5" customHeight="1" x14ac:dyDescent="0.25">
      <c r="A64" s="16">
        <v>63</v>
      </c>
      <c r="B64" s="21" t="s">
        <v>236</v>
      </c>
      <c r="C64" s="17" t="s">
        <v>77</v>
      </c>
      <c r="D64" s="17" t="s">
        <v>70</v>
      </c>
      <c r="E64" s="17" t="str">
        <f>IF(Table3[[#This Row],[Hazard Type RAW]]="NA",Table3[[#This Row],[BSC Type]],IF(Table3[[#This Row],[Hazard Type RAW]]="Others","Others - "&amp;Table3[[#This Row],[BSC Type]],Table3[[#This Row],[Hazard Type RAW]]))</f>
        <v>Safe Condition</v>
      </c>
      <c r="F64" s="18">
        <v>46274</v>
      </c>
      <c r="G64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W22 (5/9 - 11/9)</v>
      </c>
      <c r="H64" s="18">
        <v>46274</v>
      </c>
      <c r="I64" s="17" t="s">
        <v>237</v>
      </c>
      <c r="J64" s="17" t="s">
        <v>168</v>
      </c>
      <c r="K64" s="17" t="s">
        <v>175</v>
      </c>
      <c r="L64" s="19" t="s">
        <v>238</v>
      </c>
      <c r="M64" s="17" t="s">
        <v>187</v>
      </c>
    </row>
    <row r="65" spans="1:13" ht="34.5" customHeight="1" x14ac:dyDescent="0.25">
      <c r="A65" s="16">
        <v>64</v>
      </c>
      <c r="B65" s="21" t="s">
        <v>239</v>
      </c>
      <c r="C65" s="17" t="s">
        <v>77</v>
      </c>
      <c r="D65" s="17" t="s">
        <v>70</v>
      </c>
      <c r="E65" s="17" t="str">
        <f>IF(Table3[[#This Row],[Hazard Type RAW]]="NA",Table3[[#This Row],[BSC Type]],IF(Table3[[#This Row],[Hazard Type RAW]]="Others","Others - "&amp;Table3[[#This Row],[BSC Type]],Table3[[#This Row],[Hazard Type RAW]]))</f>
        <v>Safe Condition</v>
      </c>
      <c r="F65" s="18">
        <v>46274</v>
      </c>
      <c r="G65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W22 (5/9 - 11/9)</v>
      </c>
      <c r="H65" s="18">
        <v>46274</v>
      </c>
      <c r="I65" s="17" t="s">
        <v>240</v>
      </c>
      <c r="J65" s="17" t="s">
        <v>168</v>
      </c>
      <c r="K65" s="17" t="s">
        <v>193</v>
      </c>
      <c r="L65" s="19" t="s">
        <v>241</v>
      </c>
      <c r="M65" s="17" t="s">
        <v>187</v>
      </c>
    </row>
    <row r="66" spans="1:13" ht="34.5" customHeight="1" x14ac:dyDescent="0.25">
      <c r="A66" s="16">
        <v>65</v>
      </c>
      <c r="B66" s="21" t="s">
        <v>242</v>
      </c>
      <c r="C66" s="17" t="s">
        <v>77</v>
      </c>
      <c r="D66" s="17" t="s">
        <v>70</v>
      </c>
      <c r="E66" s="17" t="str">
        <f>IF(Table3[[#This Row],[Hazard Type RAW]]="NA",Table3[[#This Row],[BSC Type]],IF(Table3[[#This Row],[Hazard Type RAW]]="Others","Others - "&amp;Table3[[#This Row],[BSC Type]],Table3[[#This Row],[Hazard Type RAW]]))</f>
        <v>Safe Condition</v>
      </c>
      <c r="F66" s="18">
        <v>46274</v>
      </c>
      <c r="G66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W22 (5/9 - 11/9)</v>
      </c>
      <c r="H66" s="18">
        <v>46274</v>
      </c>
      <c r="I66" s="17" t="s">
        <v>237</v>
      </c>
      <c r="J66" s="17" t="s">
        <v>168</v>
      </c>
      <c r="K66" s="17" t="s">
        <v>175</v>
      </c>
      <c r="L66" s="19" t="s">
        <v>243</v>
      </c>
      <c r="M66" s="17" t="s">
        <v>187</v>
      </c>
    </row>
    <row r="67" spans="1:13" ht="34.5" customHeight="1" x14ac:dyDescent="0.25">
      <c r="A67" s="16">
        <v>66</v>
      </c>
      <c r="B67" s="21" t="s">
        <v>244</v>
      </c>
      <c r="C67" s="17" t="s">
        <v>77</v>
      </c>
      <c r="D67" s="17" t="s">
        <v>70</v>
      </c>
      <c r="E67" s="17" t="str">
        <f>IF(Table3[[#This Row],[Hazard Type RAW]]="NA",Table3[[#This Row],[BSC Type]],IF(Table3[[#This Row],[Hazard Type RAW]]="Others","Others - "&amp;Table3[[#This Row],[BSC Type]],Table3[[#This Row],[Hazard Type RAW]]))</f>
        <v>Safe Condition</v>
      </c>
      <c r="F67" s="18">
        <v>46274</v>
      </c>
      <c r="G67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W22 (5/9 - 11/9)</v>
      </c>
      <c r="H67" s="18">
        <v>46274</v>
      </c>
      <c r="I67" s="17" t="s">
        <v>245</v>
      </c>
      <c r="J67" s="17" t="s">
        <v>168</v>
      </c>
      <c r="K67" s="17" t="s">
        <v>169</v>
      </c>
      <c r="L67" s="19" t="s">
        <v>246</v>
      </c>
      <c r="M67" s="17" t="s">
        <v>75</v>
      </c>
    </row>
    <row r="68" spans="1:13" ht="34.5" customHeight="1" x14ac:dyDescent="0.25">
      <c r="A68" s="16">
        <v>67</v>
      </c>
      <c r="B68" s="21" t="s">
        <v>247</v>
      </c>
      <c r="C68" s="17" t="s">
        <v>149</v>
      </c>
      <c r="D68" s="17" t="s">
        <v>70</v>
      </c>
      <c r="E68" s="17" t="str">
        <f>IF(Table3[[#This Row],[Hazard Type RAW]]="NA",Table3[[#This Row],[BSC Type]],IF(Table3[[#This Row],[Hazard Type RAW]]="Others","Others - "&amp;Table3[[#This Row],[BSC Type]],Table3[[#This Row],[Hazard Type RAW]]))</f>
        <v>Safe Act</v>
      </c>
      <c r="F68" s="18">
        <v>46274</v>
      </c>
      <c r="G68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W22 (5/9 - 11/9)</v>
      </c>
      <c r="H68" s="18">
        <v>46274</v>
      </c>
      <c r="I68" s="17" t="s">
        <v>248</v>
      </c>
      <c r="J68" s="17" t="s">
        <v>22</v>
      </c>
      <c r="K68" s="17" t="s">
        <v>169</v>
      </c>
      <c r="L68" s="19" t="s">
        <v>249</v>
      </c>
      <c r="M68" s="17" t="s">
        <v>75</v>
      </c>
    </row>
    <row r="69" spans="1:13" ht="34.5" customHeight="1" x14ac:dyDescent="0.25">
      <c r="A69" s="22">
        <v>68</v>
      </c>
      <c r="B69" s="23" t="s">
        <v>250</v>
      </c>
      <c r="C69" s="24" t="s">
        <v>88</v>
      </c>
      <c r="D69" s="24" t="s">
        <v>89</v>
      </c>
      <c r="E69" s="17" t="str">
        <f>IF(Table3[[#This Row],[Hazard Type RAW]]="NA",Table3[[#This Row],[BSC Type]],IF(Table3[[#This Row],[Hazard Type RAW]]="Others","Others - "&amp;Table3[[#This Row],[BSC Type]],Table3[[#This Row],[Hazard Type RAW]]))</f>
        <v>Inadequate Warning System</v>
      </c>
      <c r="F69" s="18">
        <v>46275</v>
      </c>
      <c r="G69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W22 (5/9 - 11/9)</v>
      </c>
      <c r="H69" s="25">
        <v>46275</v>
      </c>
      <c r="I69" s="17" t="s">
        <v>199</v>
      </c>
      <c r="J69" s="17" t="s">
        <v>82</v>
      </c>
      <c r="K69" s="17" t="s">
        <v>193</v>
      </c>
      <c r="L69" s="26" t="s">
        <v>251</v>
      </c>
      <c r="M69" s="24" t="s">
        <v>75</v>
      </c>
    </row>
    <row r="70" spans="1:13" ht="34.5" customHeight="1" x14ac:dyDescent="0.25">
      <c r="A70" s="16">
        <v>69</v>
      </c>
      <c r="B70" s="21" t="s">
        <v>252</v>
      </c>
      <c r="C70" s="17" t="s">
        <v>88</v>
      </c>
      <c r="D70" s="17" t="s">
        <v>89</v>
      </c>
      <c r="E70" s="17" t="str">
        <f>IF(Table3[[#This Row],[Hazard Type RAW]]="NA",Table3[[#This Row],[BSC Type]],IF(Table3[[#This Row],[Hazard Type RAW]]="Others","Others - "&amp;Table3[[#This Row],[BSC Type]],Table3[[#This Row],[Hazard Type RAW]]))</f>
        <v>Inadequate Warning System</v>
      </c>
      <c r="F70" s="18">
        <v>46277</v>
      </c>
      <c r="G70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W23 (12/9 - 18/9)</v>
      </c>
      <c r="H70" s="18">
        <v>46277</v>
      </c>
      <c r="I70" s="17" t="s">
        <v>199</v>
      </c>
      <c r="J70" s="17" t="s">
        <v>82</v>
      </c>
      <c r="K70" s="17" t="s">
        <v>193</v>
      </c>
      <c r="L70" s="19" t="s">
        <v>253</v>
      </c>
      <c r="M70" s="17" t="s">
        <v>75</v>
      </c>
    </row>
    <row r="71" spans="1:13" ht="34.5" customHeight="1" x14ac:dyDescent="0.25">
      <c r="A71" s="22">
        <v>70</v>
      </c>
      <c r="B71" s="21" t="s">
        <v>254</v>
      </c>
      <c r="C71" s="17" t="s">
        <v>116</v>
      </c>
      <c r="D71" s="17" t="s">
        <v>183</v>
      </c>
      <c r="E71" s="17" t="str">
        <f>IF(Table3[[#This Row],[Hazard Type RAW]]="NA",Table3[[#This Row],[BSC Type]],IF(Table3[[#This Row],[Hazard Type RAW]]="Others","Others - "&amp;Table3[[#This Row],[BSC Type]],Table3[[#This Row],[Hazard Type RAW]]))</f>
        <v>Inadequate or Improper Protective Equipment</v>
      </c>
      <c r="F71" s="18">
        <v>46277</v>
      </c>
      <c r="G71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W23 (12/9 - 18/9)</v>
      </c>
      <c r="H71" s="18">
        <v>46277</v>
      </c>
      <c r="I71" s="17" t="s">
        <v>199</v>
      </c>
      <c r="J71" s="17" t="s">
        <v>82</v>
      </c>
      <c r="K71" s="17" t="s">
        <v>193</v>
      </c>
      <c r="L71" s="19" t="s">
        <v>255</v>
      </c>
      <c r="M71" s="17" t="s">
        <v>75</v>
      </c>
    </row>
    <row r="72" spans="1:13" ht="34.5" customHeight="1" x14ac:dyDescent="0.25">
      <c r="A72" s="16">
        <v>71</v>
      </c>
      <c r="B72" s="21" t="s">
        <v>256</v>
      </c>
      <c r="C72" s="17" t="s">
        <v>80</v>
      </c>
      <c r="D72" s="17" t="s">
        <v>70</v>
      </c>
      <c r="E72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72" s="18">
        <v>46277</v>
      </c>
      <c r="G72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W23 (12/9 - 18/9)</v>
      </c>
      <c r="H72" s="18">
        <v>46277</v>
      </c>
      <c r="I72" s="17" t="s">
        <v>257</v>
      </c>
      <c r="J72" s="17" t="s">
        <v>168</v>
      </c>
      <c r="K72" s="17" t="s">
        <v>175</v>
      </c>
      <c r="L72" s="19" t="s">
        <v>258</v>
      </c>
      <c r="M72" s="17" t="s">
        <v>75</v>
      </c>
    </row>
    <row r="73" spans="1:13" ht="34.5" customHeight="1" x14ac:dyDescent="0.25">
      <c r="A73" s="22">
        <v>72</v>
      </c>
      <c r="B73" s="21" t="s">
        <v>259</v>
      </c>
      <c r="C73" s="17" t="s">
        <v>88</v>
      </c>
      <c r="D73" s="17" t="s">
        <v>126</v>
      </c>
      <c r="E73" s="17" t="str">
        <f>IF(Table3[[#This Row],[Hazard Type RAW]]="NA",Table3[[#This Row],[BSC Type]],IF(Table3[[#This Row],[Hazard Type RAW]]="Others","Others - "&amp;Table3[[#This Row],[BSC Type]],Table3[[#This Row],[Hazard Type RAW]]))</f>
        <v>Defective Tools, Equipment or Materials</v>
      </c>
      <c r="F73" s="18">
        <v>46278</v>
      </c>
      <c r="G73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W23 (12/9 - 18/9)</v>
      </c>
      <c r="H73" s="18">
        <v>46278</v>
      </c>
      <c r="I73" s="17" t="s">
        <v>85</v>
      </c>
      <c r="J73" s="17" t="s">
        <v>82</v>
      </c>
      <c r="K73" s="17" t="s">
        <v>73</v>
      </c>
      <c r="L73" s="19" t="s">
        <v>260</v>
      </c>
      <c r="M73" s="17" t="s">
        <v>75</v>
      </c>
    </row>
    <row r="74" spans="1:13" ht="34.5" customHeight="1" x14ac:dyDescent="0.25">
      <c r="A74" s="16">
        <v>73</v>
      </c>
      <c r="B74" s="21" t="s">
        <v>261</v>
      </c>
      <c r="C74" s="17" t="s">
        <v>142</v>
      </c>
      <c r="D74" s="17" t="s">
        <v>117</v>
      </c>
      <c r="E74" s="17" t="str">
        <f>IF(Table3[[#This Row],[Hazard Type RAW]]="NA",Table3[[#This Row],[BSC Type]],IF(Table3[[#This Row],[Hazard Type RAW]]="Others","Others - "&amp;Table3[[#This Row],[BSC Type]],Table3[[#This Row],[Hazard Type RAW]]))</f>
        <v>Others - Hazardous Environmental Condition</v>
      </c>
      <c r="F74" s="18">
        <v>46282</v>
      </c>
      <c r="G74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W23 (12/9 - 18/9)</v>
      </c>
      <c r="H74" s="18">
        <v>46282</v>
      </c>
      <c r="I74" s="17" t="s">
        <v>262</v>
      </c>
      <c r="J74" s="17" t="s">
        <v>168</v>
      </c>
      <c r="K74" s="17" t="s">
        <v>169</v>
      </c>
      <c r="L74" s="19" t="s">
        <v>263</v>
      </c>
      <c r="M74" s="17" t="s">
        <v>75</v>
      </c>
    </row>
    <row r="75" spans="1:13" ht="34.5" customHeight="1" x14ac:dyDescent="0.25">
      <c r="A75" s="22">
        <v>74</v>
      </c>
      <c r="B75" s="21" t="s">
        <v>264</v>
      </c>
      <c r="C75" s="17" t="s">
        <v>88</v>
      </c>
      <c r="D75" s="17" t="s">
        <v>117</v>
      </c>
      <c r="E75" s="17" t="str">
        <f>IF(Table3[[#This Row],[Hazard Type RAW]]="NA",Table3[[#This Row],[BSC Type]],IF(Table3[[#This Row],[Hazard Type RAW]]="Others","Others - "&amp;Table3[[#This Row],[BSC Type]],Table3[[#This Row],[Hazard Type RAW]]))</f>
        <v>Others - Unsafe Condition</v>
      </c>
      <c r="F75" s="18">
        <v>46282</v>
      </c>
      <c r="G75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W23 (12/9 - 18/9)</v>
      </c>
      <c r="H75" s="18">
        <v>46282</v>
      </c>
      <c r="I75" s="17" t="s">
        <v>265</v>
      </c>
      <c r="J75" s="17" t="s">
        <v>82</v>
      </c>
      <c r="K75" s="17" t="s">
        <v>73</v>
      </c>
      <c r="L75" s="19" t="s">
        <v>266</v>
      </c>
      <c r="M75" s="17" t="s">
        <v>75</v>
      </c>
    </row>
    <row r="76" spans="1:13" ht="34.5" customHeight="1" x14ac:dyDescent="0.25">
      <c r="A76" s="16">
        <v>75</v>
      </c>
      <c r="B76" s="21" t="s">
        <v>267</v>
      </c>
      <c r="C76" s="17" t="s">
        <v>149</v>
      </c>
      <c r="D76" s="17" t="s">
        <v>70</v>
      </c>
      <c r="E76" s="17" t="str">
        <f>IF(Table3[[#This Row],[Hazard Type RAW]]="NA",Table3[[#This Row],[BSC Type]],IF(Table3[[#This Row],[Hazard Type RAW]]="Others","Others - "&amp;Table3[[#This Row],[BSC Type]],Table3[[#This Row],[Hazard Type RAW]]))</f>
        <v>Safe Act</v>
      </c>
      <c r="F76" s="18">
        <v>46282</v>
      </c>
      <c r="G76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W23 (12/9 - 18/9)</v>
      </c>
      <c r="H76" s="18">
        <v>46282</v>
      </c>
      <c r="I76" s="17" t="s">
        <v>268</v>
      </c>
      <c r="J76" s="17" t="s">
        <v>168</v>
      </c>
      <c r="K76" s="17" t="s">
        <v>169</v>
      </c>
      <c r="L76" s="19" t="s">
        <v>70</v>
      </c>
      <c r="M76" s="17" t="s">
        <v>75</v>
      </c>
    </row>
    <row r="77" spans="1:13" ht="34.5" customHeight="1" x14ac:dyDescent="0.25">
      <c r="A77" s="22">
        <v>76</v>
      </c>
      <c r="B77" s="21" t="s">
        <v>269</v>
      </c>
      <c r="C77" s="17" t="s">
        <v>149</v>
      </c>
      <c r="D77" s="17" t="s">
        <v>70</v>
      </c>
      <c r="E77" s="17" t="str">
        <f>IF(Table3[[#This Row],[Hazard Type RAW]]="NA",Table3[[#This Row],[BSC Type]],IF(Table3[[#This Row],[Hazard Type RAW]]="Others","Others - "&amp;Table3[[#This Row],[BSC Type]],Table3[[#This Row],[Hazard Type RAW]]))</f>
        <v>Safe Act</v>
      </c>
      <c r="F77" s="18">
        <v>46282</v>
      </c>
      <c r="G77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W23 (12/9 - 18/9)</v>
      </c>
      <c r="H77" s="18">
        <v>46282</v>
      </c>
      <c r="I77" s="17" t="s">
        <v>270</v>
      </c>
      <c r="J77" s="17" t="s">
        <v>22</v>
      </c>
      <c r="K77" s="17" t="s">
        <v>169</v>
      </c>
      <c r="L77" s="19" t="s">
        <v>271</v>
      </c>
      <c r="M77" s="17" t="s">
        <v>75</v>
      </c>
    </row>
    <row r="78" spans="1:13" ht="34.5" customHeight="1" x14ac:dyDescent="0.25">
      <c r="A78" s="16">
        <v>77</v>
      </c>
      <c r="B78" s="21" t="s">
        <v>272</v>
      </c>
      <c r="C78" s="17" t="s">
        <v>149</v>
      </c>
      <c r="D78" s="17" t="s">
        <v>70</v>
      </c>
      <c r="E78" s="17" t="str">
        <f>IF(Table3[[#This Row],[Hazard Type RAW]]="NA",Table3[[#This Row],[BSC Type]],IF(Table3[[#This Row],[Hazard Type RAW]]="Others","Others - "&amp;Table3[[#This Row],[BSC Type]],Table3[[#This Row],[Hazard Type RAW]]))</f>
        <v>Safe Act</v>
      </c>
      <c r="F78" s="18">
        <v>46282</v>
      </c>
      <c r="G78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W23 (12/9 - 18/9)</v>
      </c>
      <c r="H78" s="18">
        <v>46282</v>
      </c>
      <c r="I78" s="17" t="s">
        <v>273</v>
      </c>
      <c r="J78" s="17" t="s">
        <v>22</v>
      </c>
      <c r="K78" s="17" t="s">
        <v>169</v>
      </c>
      <c r="L78" s="19" t="s">
        <v>274</v>
      </c>
      <c r="M78" s="17" t="s">
        <v>75</v>
      </c>
    </row>
    <row r="79" spans="1:13" ht="34.5" customHeight="1" x14ac:dyDescent="0.25">
      <c r="A79" s="22">
        <v>78</v>
      </c>
      <c r="B79" s="21" t="s">
        <v>275</v>
      </c>
      <c r="C79" s="17" t="s">
        <v>80</v>
      </c>
      <c r="D79" s="17" t="s">
        <v>70</v>
      </c>
      <c r="E79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79" s="18">
        <v>46282</v>
      </c>
      <c r="G79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W23 (12/9 - 18/9)</v>
      </c>
      <c r="H79" s="18">
        <v>46282</v>
      </c>
      <c r="I79" s="17" t="s">
        <v>199</v>
      </c>
      <c r="J79" s="17" t="s">
        <v>82</v>
      </c>
      <c r="K79" s="17" t="s">
        <v>193</v>
      </c>
      <c r="L79" s="19" t="s">
        <v>276</v>
      </c>
      <c r="M79" s="17" t="s">
        <v>75</v>
      </c>
    </row>
    <row r="80" spans="1:13" ht="34.5" customHeight="1" x14ac:dyDescent="0.25">
      <c r="A80" s="16">
        <v>79</v>
      </c>
      <c r="B80" s="21" t="s">
        <v>277</v>
      </c>
      <c r="C80" s="17" t="s">
        <v>116</v>
      </c>
      <c r="D80" s="17" t="s">
        <v>183</v>
      </c>
      <c r="E80" s="17" t="str">
        <f>IF(Table3[[#This Row],[Hazard Type RAW]]="NA",Table3[[#This Row],[BSC Type]],IF(Table3[[#This Row],[Hazard Type RAW]]="Others","Others - "&amp;Table3[[#This Row],[BSC Type]],Table3[[#This Row],[Hazard Type RAW]]))</f>
        <v>Inadequate or Improper Protective Equipment</v>
      </c>
      <c r="F80" s="18">
        <v>46283</v>
      </c>
      <c r="G80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W23 (12/9 - 18/9)</v>
      </c>
      <c r="H80" s="18">
        <v>46283</v>
      </c>
      <c r="I80" s="17" t="s">
        <v>92</v>
      </c>
      <c r="J80" s="17" t="s">
        <v>82</v>
      </c>
      <c r="K80" s="17" t="s">
        <v>73</v>
      </c>
      <c r="L80" s="19" t="s">
        <v>278</v>
      </c>
      <c r="M80" s="17" t="s">
        <v>75</v>
      </c>
    </row>
    <row r="81" spans="1:13" ht="34.5" customHeight="1" x14ac:dyDescent="0.25">
      <c r="A81" s="22">
        <v>80</v>
      </c>
      <c r="B81" s="21" t="s">
        <v>279</v>
      </c>
      <c r="C81" s="17" t="s">
        <v>88</v>
      </c>
      <c r="D81" s="17" t="s">
        <v>89</v>
      </c>
      <c r="E81" s="17" t="str">
        <f>IF(Table3[[#This Row],[Hazard Type RAW]]="NA",Table3[[#This Row],[BSC Type]],IF(Table3[[#This Row],[Hazard Type RAW]]="Others","Others - "&amp;Table3[[#This Row],[BSC Type]],Table3[[#This Row],[Hazard Type RAW]]))</f>
        <v>Inadequate Warning System</v>
      </c>
      <c r="F81" s="18">
        <v>46283</v>
      </c>
      <c r="G81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W23 (12/9 - 18/9)</v>
      </c>
      <c r="H81" s="18">
        <v>46283</v>
      </c>
      <c r="I81" s="17" t="s">
        <v>280</v>
      </c>
      <c r="J81" s="17" t="s">
        <v>82</v>
      </c>
      <c r="K81" s="17" t="s">
        <v>73</v>
      </c>
      <c r="L81" s="19" t="s">
        <v>281</v>
      </c>
      <c r="M81" s="17" t="s">
        <v>75</v>
      </c>
    </row>
    <row r="82" spans="1:13" ht="34.5" customHeight="1" x14ac:dyDescent="0.25">
      <c r="A82" s="16">
        <v>81</v>
      </c>
      <c r="B82" s="21" t="s">
        <v>282</v>
      </c>
      <c r="C82" s="17" t="s">
        <v>88</v>
      </c>
      <c r="D82" s="17" t="s">
        <v>117</v>
      </c>
      <c r="E82" s="17" t="str">
        <f>IF(Table3[[#This Row],[Hazard Type RAW]]="NA",Table3[[#This Row],[BSC Type]],IF(Table3[[#This Row],[Hazard Type RAW]]="Others","Others - "&amp;Table3[[#This Row],[BSC Type]],Table3[[#This Row],[Hazard Type RAW]]))</f>
        <v>Others - Unsafe Condition</v>
      </c>
      <c r="F82" s="18">
        <v>46283</v>
      </c>
      <c r="G82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W23 (12/9 - 18/9)</v>
      </c>
      <c r="H82" s="18">
        <v>46283</v>
      </c>
      <c r="I82" s="17" t="s">
        <v>280</v>
      </c>
      <c r="J82" s="17" t="s">
        <v>82</v>
      </c>
      <c r="K82" s="17" t="s">
        <v>73</v>
      </c>
      <c r="L82" s="19" t="s">
        <v>283</v>
      </c>
      <c r="M82" s="17" t="s">
        <v>75</v>
      </c>
    </row>
    <row r="83" spans="1:13" ht="34.5" customHeight="1" x14ac:dyDescent="0.25">
      <c r="A83" s="22">
        <v>82</v>
      </c>
      <c r="B83" s="21" t="s">
        <v>284</v>
      </c>
      <c r="C83" s="17" t="s">
        <v>88</v>
      </c>
      <c r="D83" s="17" t="s">
        <v>99</v>
      </c>
      <c r="E83" s="17" t="str">
        <f>IF(Table3[[#This Row],[Hazard Type RAW]]="NA",Table3[[#This Row],[BSC Type]],IF(Table3[[#This Row],[Hazard Type RAW]]="Others","Others - "&amp;Table3[[#This Row],[BSC Type]],Table3[[#This Row],[Hazard Type RAW]]))</f>
        <v>Poor Housekeeping/Disorder</v>
      </c>
      <c r="F83" s="18">
        <v>46286</v>
      </c>
      <c r="G83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83" s="18">
        <v>46286</v>
      </c>
      <c r="I83" s="17" t="s">
        <v>92</v>
      </c>
      <c r="J83" s="17" t="s">
        <v>82</v>
      </c>
      <c r="K83" s="17" t="s">
        <v>73</v>
      </c>
      <c r="L83" s="19" t="s">
        <v>285</v>
      </c>
      <c r="M83" s="17" t="s">
        <v>75</v>
      </c>
    </row>
    <row r="84" spans="1:13" ht="34.5" customHeight="1" x14ac:dyDescent="0.25">
      <c r="A84" s="16">
        <v>83</v>
      </c>
      <c r="B84" s="21" t="s">
        <v>286</v>
      </c>
      <c r="C84" s="17" t="s">
        <v>88</v>
      </c>
      <c r="D84" s="17" t="s">
        <v>99</v>
      </c>
      <c r="E84" s="17" t="str">
        <f>IF(Table3[[#This Row],[Hazard Type RAW]]="NA",Table3[[#This Row],[BSC Type]],IF(Table3[[#This Row],[Hazard Type RAW]]="Others","Others - "&amp;Table3[[#This Row],[BSC Type]],Table3[[#This Row],[Hazard Type RAW]]))</f>
        <v>Poor Housekeeping/Disorder</v>
      </c>
      <c r="F84" s="18">
        <v>46288</v>
      </c>
      <c r="G84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84" s="18">
        <v>46288</v>
      </c>
      <c r="I84" s="17" t="s">
        <v>92</v>
      </c>
      <c r="J84" s="17" t="s">
        <v>82</v>
      </c>
      <c r="K84" s="17" t="s">
        <v>73</v>
      </c>
      <c r="L84" s="19" t="s">
        <v>287</v>
      </c>
      <c r="M84" s="17" t="s">
        <v>75</v>
      </c>
    </row>
    <row r="85" spans="1:13" ht="34.5" customHeight="1" x14ac:dyDescent="0.25">
      <c r="A85" s="22">
        <v>84</v>
      </c>
      <c r="B85" s="21" t="s">
        <v>288</v>
      </c>
      <c r="C85" s="17" t="s">
        <v>69</v>
      </c>
      <c r="D85" s="17" t="s">
        <v>70</v>
      </c>
      <c r="E85" s="17" t="str">
        <f>IF(Table3[[#This Row],[Hazard Type RAW]]="NA",Table3[[#This Row],[BSC Type]],IF(Table3[[#This Row],[Hazard Type RAW]]="Others","Others - "&amp;Table3[[#This Row],[BSC Type]],Table3[[#This Row],[Hazard Type RAW]]))</f>
        <v>Suggestion for Improvement</v>
      </c>
      <c r="F85" s="18">
        <v>46288</v>
      </c>
      <c r="G85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85" s="18">
        <v>46288</v>
      </c>
      <c r="I85" s="17" t="s">
        <v>92</v>
      </c>
      <c r="J85" s="17" t="s">
        <v>82</v>
      </c>
      <c r="K85" s="17" t="s">
        <v>73</v>
      </c>
      <c r="L85" s="19" t="s">
        <v>289</v>
      </c>
      <c r="M85" s="17" t="s">
        <v>75</v>
      </c>
    </row>
    <row r="86" spans="1:13" ht="34.5" customHeight="1" x14ac:dyDescent="0.25">
      <c r="A86" s="16">
        <v>85</v>
      </c>
      <c r="B86" s="21" t="s">
        <v>290</v>
      </c>
      <c r="C86" s="17" t="s">
        <v>80</v>
      </c>
      <c r="D86" s="17" t="s">
        <v>70</v>
      </c>
      <c r="E86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86" s="18">
        <v>46288</v>
      </c>
      <c r="G86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86" s="18">
        <v>46288</v>
      </c>
      <c r="I86" s="17" t="s">
        <v>92</v>
      </c>
      <c r="J86" s="17" t="s">
        <v>82</v>
      </c>
      <c r="K86" s="17" t="s">
        <v>73</v>
      </c>
      <c r="L86" s="19" t="s">
        <v>291</v>
      </c>
      <c r="M86" s="17" t="s">
        <v>75</v>
      </c>
    </row>
    <row r="87" spans="1:13" ht="34.5" customHeight="1" x14ac:dyDescent="0.25">
      <c r="A87" s="22">
        <v>86</v>
      </c>
      <c r="B87" s="21" t="s">
        <v>292</v>
      </c>
      <c r="C87" s="17" t="s">
        <v>88</v>
      </c>
      <c r="D87" s="17" t="s">
        <v>293</v>
      </c>
      <c r="E87" s="17" t="str">
        <f>IF(Table3[[#This Row],[Hazard Type RAW]]="NA",Table3[[#This Row],[BSC Type]],IF(Table3[[#This Row],[Hazard Type RAW]]="Others","Others - "&amp;Table3[[#This Row],[BSC Type]],Table3[[#This Row],[Hazard Type RAW]]))</f>
        <v>Congestion or Restricted Action</v>
      </c>
      <c r="F87" s="18">
        <v>46288</v>
      </c>
      <c r="G87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87" s="18">
        <v>46288</v>
      </c>
      <c r="I87" s="17" t="s">
        <v>92</v>
      </c>
      <c r="J87" s="17" t="s">
        <v>82</v>
      </c>
      <c r="K87" s="17" t="s">
        <v>73</v>
      </c>
      <c r="L87" s="19" t="s">
        <v>294</v>
      </c>
      <c r="M87" s="17" t="s">
        <v>75</v>
      </c>
    </row>
    <row r="88" spans="1:13" ht="34.5" customHeight="1" x14ac:dyDescent="0.25">
      <c r="A88" s="16">
        <v>87</v>
      </c>
      <c r="B88" s="21" t="s">
        <v>295</v>
      </c>
      <c r="C88" s="17" t="s">
        <v>116</v>
      </c>
      <c r="D88" s="17" t="s">
        <v>183</v>
      </c>
      <c r="E88" s="17" t="str">
        <f>IF(Table3[[#This Row],[Hazard Type RAW]]="NA",Table3[[#This Row],[BSC Type]],IF(Table3[[#This Row],[Hazard Type RAW]]="Others","Others - "&amp;Table3[[#This Row],[BSC Type]],Table3[[#This Row],[Hazard Type RAW]]))</f>
        <v>Inadequate or Improper Protective Equipment</v>
      </c>
      <c r="F88" s="18">
        <v>46288</v>
      </c>
      <c r="G88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88" s="18">
        <v>46288</v>
      </c>
      <c r="I88" s="17" t="s">
        <v>81</v>
      </c>
      <c r="J88" s="17" t="s">
        <v>82</v>
      </c>
      <c r="K88" s="17" t="s">
        <v>73</v>
      </c>
      <c r="L88" s="19" t="s">
        <v>296</v>
      </c>
      <c r="M88" s="17" t="s">
        <v>75</v>
      </c>
    </row>
    <row r="89" spans="1:13" ht="34.5" customHeight="1" x14ac:dyDescent="0.25">
      <c r="A89" s="22">
        <v>88</v>
      </c>
      <c r="B89" s="21" t="s">
        <v>297</v>
      </c>
      <c r="C89" s="17" t="s">
        <v>80</v>
      </c>
      <c r="D89" s="17" t="s">
        <v>70</v>
      </c>
      <c r="E89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89" s="18">
        <v>46288</v>
      </c>
      <c r="G89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89" s="18">
        <v>46288</v>
      </c>
      <c r="I89" s="17" t="s">
        <v>111</v>
      </c>
      <c r="J89" s="17" t="s">
        <v>82</v>
      </c>
      <c r="K89" s="17" t="s">
        <v>73</v>
      </c>
      <c r="L89" s="19" t="s">
        <v>298</v>
      </c>
      <c r="M89" s="17" t="s">
        <v>75</v>
      </c>
    </row>
    <row r="90" spans="1:13" ht="34.5" customHeight="1" x14ac:dyDescent="0.25">
      <c r="A90" s="16">
        <v>89</v>
      </c>
      <c r="B90" s="21" t="s">
        <v>299</v>
      </c>
      <c r="C90" s="17" t="s">
        <v>80</v>
      </c>
      <c r="D90" s="17" t="s">
        <v>70</v>
      </c>
      <c r="E90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90" s="18">
        <v>46288</v>
      </c>
      <c r="G90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90" s="18">
        <v>46288</v>
      </c>
      <c r="I90" s="17" t="s">
        <v>111</v>
      </c>
      <c r="J90" s="17" t="s">
        <v>82</v>
      </c>
      <c r="K90" s="17" t="s">
        <v>73</v>
      </c>
      <c r="L90" s="19" t="s">
        <v>300</v>
      </c>
      <c r="M90" s="17" t="s">
        <v>75</v>
      </c>
    </row>
    <row r="91" spans="1:13" ht="34.5" customHeight="1" x14ac:dyDescent="0.25">
      <c r="A91" s="22">
        <v>90</v>
      </c>
      <c r="B91" s="21" t="s">
        <v>301</v>
      </c>
      <c r="C91" s="17" t="s">
        <v>69</v>
      </c>
      <c r="D91" s="17" t="s">
        <v>70</v>
      </c>
      <c r="E91" s="17" t="str">
        <f>IF(Table3[[#This Row],[Hazard Type RAW]]="NA",Table3[[#This Row],[BSC Type]],IF(Table3[[#This Row],[Hazard Type RAW]]="Others","Others - "&amp;Table3[[#This Row],[BSC Type]],Table3[[#This Row],[Hazard Type RAW]]))</f>
        <v>Suggestion for Improvement</v>
      </c>
      <c r="F91" s="18">
        <v>46288</v>
      </c>
      <c r="G91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91" s="18">
        <v>46288</v>
      </c>
      <c r="I91" s="17" t="s">
        <v>302</v>
      </c>
      <c r="J91" s="17" t="s">
        <v>72</v>
      </c>
      <c r="K91" s="17" t="s">
        <v>73</v>
      </c>
      <c r="L91" s="19" t="s">
        <v>303</v>
      </c>
      <c r="M91" s="17" t="s">
        <v>75</v>
      </c>
    </row>
    <row r="92" spans="1:13" ht="34.5" customHeight="1" x14ac:dyDescent="0.25">
      <c r="A92" s="16">
        <v>91</v>
      </c>
      <c r="B92" s="21" t="s">
        <v>304</v>
      </c>
      <c r="C92" s="17" t="s">
        <v>149</v>
      </c>
      <c r="D92" s="17" t="s">
        <v>70</v>
      </c>
      <c r="E92" s="17" t="str">
        <f>IF(Table3[[#This Row],[Hazard Type RAW]]="NA",Table3[[#This Row],[BSC Type]],IF(Table3[[#This Row],[Hazard Type RAW]]="Others","Others - "&amp;Table3[[#This Row],[BSC Type]],Table3[[#This Row],[Hazard Type RAW]]))</f>
        <v>Safe Act</v>
      </c>
      <c r="F92" s="18">
        <v>46288</v>
      </c>
      <c r="G92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92" s="18">
        <v>46288</v>
      </c>
      <c r="I92" s="17" t="s">
        <v>111</v>
      </c>
      <c r="J92" s="17" t="s">
        <v>82</v>
      </c>
      <c r="K92" s="17" t="s">
        <v>73</v>
      </c>
      <c r="L92" s="19" t="s">
        <v>305</v>
      </c>
      <c r="M92" s="17" t="s">
        <v>75</v>
      </c>
    </row>
    <row r="93" spans="1:13" ht="34.5" customHeight="1" x14ac:dyDescent="0.25">
      <c r="A93" s="22">
        <v>92</v>
      </c>
      <c r="B93" s="21" t="s">
        <v>306</v>
      </c>
      <c r="C93" s="17" t="s">
        <v>77</v>
      </c>
      <c r="D93" s="17" t="s">
        <v>70</v>
      </c>
      <c r="E93" s="17" t="str">
        <f>IF(Table3[[#This Row],[Hazard Type RAW]]="NA",Table3[[#This Row],[BSC Type]],IF(Table3[[#This Row],[Hazard Type RAW]]="Others","Others - "&amp;Table3[[#This Row],[BSC Type]],Table3[[#This Row],[Hazard Type RAW]]))</f>
        <v>Safe Condition</v>
      </c>
      <c r="F93" s="18">
        <v>46288</v>
      </c>
      <c r="G93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93" s="18">
        <v>46289</v>
      </c>
      <c r="I93" s="17" t="s">
        <v>92</v>
      </c>
      <c r="J93" s="17" t="s">
        <v>82</v>
      </c>
      <c r="K93" s="17" t="s">
        <v>73</v>
      </c>
      <c r="L93" s="19" t="s">
        <v>307</v>
      </c>
      <c r="M93" s="17" t="s">
        <v>75</v>
      </c>
    </row>
    <row r="94" spans="1:13" ht="34.5" customHeight="1" x14ac:dyDescent="0.25">
      <c r="A94" s="16">
        <v>93</v>
      </c>
      <c r="B94" s="21" t="s">
        <v>308</v>
      </c>
      <c r="C94" s="17" t="s">
        <v>116</v>
      </c>
      <c r="D94" s="17" t="s">
        <v>183</v>
      </c>
      <c r="E94" s="17" t="str">
        <f>IF(Table3[[#This Row],[Hazard Type RAW]]="NA",Table3[[#This Row],[BSC Type]],IF(Table3[[#This Row],[Hazard Type RAW]]="Others","Others - "&amp;Table3[[#This Row],[BSC Type]],Table3[[#This Row],[Hazard Type RAW]]))</f>
        <v>Inadequate or Improper Protective Equipment</v>
      </c>
      <c r="F94" s="18">
        <v>46288</v>
      </c>
      <c r="G94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94" s="18">
        <v>46289</v>
      </c>
      <c r="I94" s="17" t="s">
        <v>92</v>
      </c>
      <c r="J94" s="17" t="s">
        <v>82</v>
      </c>
      <c r="K94" s="17" t="s">
        <v>73</v>
      </c>
      <c r="L94" s="19" t="s">
        <v>309</v>
      </c>
      <c r="M94" s="17" t="s">
        <v>75</v>
      </c>
    </row>
    <row r="95" spans="1:13" ht="34.5" customHeight="1" x14ac:dyDescent="0.25">
      <c r="A95" s="22">
        <v>94</v>
      </c>
      <c r="B95" s="21" t="s">
        <v>310</v>
      </c>
      <c r="C95" s="17" t="s">
        <v>80</v>
      </c>
      <c r="D95" s="17" t="s">
        <v>70</v>
      </c>
      <c r="E95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95" s="18">
        <v>46289</v>
      </c>
      <c r="G95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95" s="18">
        <v>46289</v>
      </c>
      <c r="I95" s="17" t="s">
        <v>81</v>
      </c>
      <c r="J95" s="17" t="s">
        <v>82</v>
      </c>
      <c r="K95" s="17" t="s">
        <v>73</v>
      </c>
      <c r="L95" s="19" t="s">
        <v>311</v>
      </c>
      <c r="M95" s="17" t="s">
        <v>75</v>
      </c>
    </row>
    <row r="96" spans="1:13" ht="34.5" customHeight="1" x14ac:dyDescent="0.25">
      <c r="A96" s="16">
        <v>95</v>
      </c>
      <c r="B96" s="21" t="s">
        <v>312</v>
      </c>
      <c r="C96" s="17" t="s">
        <v>116</v>
      </c>
      <c r="D96" s="17" t="s">
        <v>183</v>
      </c>
      <c r="E96" s="17" t="str">
        <f>IF(Table3[[#This Row],[Hazard Type RAW]]="NA",Table3[[#This Row],[BSC Type]],IF(Table3[[#This Row],[Hazard Type RAW]]="Others","Others - "&amp;Table3[[#This Row],[BSC Type]],Table3[[#This Row],[Hazard Type RAW]]))</f>
        <v>Inadequate or Improper Protective Equipment</v>
      </c>
      <c r="F96" s="18">
        <v>46289</v>
      </c>
      <c r="G96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96" s="18">
        <v>46289</v>
      </c>
      <c r="I96" s="17" t="s">
        <v>92</v>
      </c>
      <c r="J96" s="17" t="s">
        <v>82</v>
      </c>
      <c r="K96" s="17" t="s">
        <v>73</v>
      </c>
      <c r="L96" s="19" t="s">
        <v>313</v>
      </c>
      <c r="M96" s="17" t="s">
        <v>75</v>
      </c>
    </row>
    <row r="97" spans="1:13" ht="34.5" customHeight="1" x14ac:dyDescent="0.25">
      <c r="A97" s="22">
        <v>96</v>
      </c>
      <c r="B97" s="21" t="s">
        <v>314</v>
      </c>
      <c r="C97" s="17" t="s">
        <v>77</v>
      </c>
      <c r="D97" s="17" t="s">
        <v>70</v>
      </c>
      <c r="E97" s="17" t="str">
        <f>IF(Table3[[#This Row],[Hazard Type RAW]]="NA",Table3[[#This Row],[BSC Type]],IF(Table3[[#This Row],[Hazard Type RAW]]="Others","Others - "&amp;Table3[[#This Row],[BSC Type]],Table3[[#This Row],[Hazard Type RAW]]))</f>
        <v>Safe Condition</v>
      </c>
      <c r="F97" s="18">
        <v>46289</v>
      </c>
      <c r="G97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97" s="18">
        <v>46289</v>
      </c>
      <c r="I97" s="17" t="s">
        <v>92</v>
      </c>
      <c r="J97" s="17" t="s">
        <v>82</v>
      </c>
      <c r="K97" s="17" t="s">
        <v>73</v>
      </c>
      <c r="L97" s="19" t="s">
        <v>315</v>
      </c>
      <c r="M97" s="17" t="s">
        <v>75</v>
      </c>
    </row>
    <row r="98" spans="1:13" ht="34.5" customHeight="1" x14ac:dyDescent="0.25">
      <c r="A98" s="16">
        <v>97</v>
      </c>
      <c r="B98" s="21" t="s">
        <v>316</v>
      </c>
      <c r="C98" s="17" t="s">
        <v>77</v>
      </c>
      <c r="D98" s="17" t="s">
        <v>70</v>
      </c>
      <c r="E98" s="17" t="str">
        <f>IF(Table3[[#This Row],[Hazard Type RAW]]="NA",Table3[[#This Row],[BSC Type]],IF(Table3[[#This Row],[Hazard Type RAW]]="Others","Others - "&amp;Table3[[#This Row],[BSC Type]],Table3[[#This Row],[Hazard Type RAW]]))</f>
        <v>Safe Condition</v>
      </c>
      <c r="F98" s="18">
        <v>46289</v>
      </c>
      <c r="G98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98" s="18">
        <v>46289</v>
      </c>
      <c r="I98" s="17" t="s">
        <v>92</v>
      </c>
      <c r="J98" s="17" t="s">
        <v>82</v>
      </c>
      <c r="K98" s="17" t="s">
        <v>73</v>
      </c>
      <c r="L98" s="19" t="s">
        <v>317</v>
      </c>
      <c r="M98" s="17" t="s">
        <v>75</v>
      </c>
    </row>
    <row r="99" spans="1:13" ht="34.5" customHeight="1" x14ac:dyDescent="0.25">
      <c r="A99" s="22">
        <v>98</v>
      </c>
      <c r="B99" s="21" t="s">
        <v>318</v>
      </c>
      <c r="C99" s="17" t="s">
        <v>88</v>
      </c>
      <c r="D99" s="17" t="s">
        <v>89</v>
      </c>
      <c r="E99" s="17" t="str">
        <f>IF(Table3[[#This Row],[Hazard Type RAW]]="NA",Table3[[#This Row],[BSC Type]],IF(Table3[[#This Row],[Hazard Type RAW]]="Others","Others - "&amp;Table3[[#This Row],[BSC Type]],Table3[[#This Row],[Hazard Type RAW]]))</f>
        <v>Inadequate Warning System</v>
      </c>
      <c r="F99" s="18">
        <v>46289</v>
      </c>
      <c r="G99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99" s="18">
        <v>46289</v>
      </c>
      <c r="I99" s="17" t="s">
        <v>96</v>
      </c>
      <c r="J99" s="17" t="s">
        <v>82</v>
      </c>
      <c r="K99" s="17" t="s">
        <v>73</v>
      </c>
      <c r="L99" s="19" t="s">
        <v>319</v>
      </c>
      <c r="M99" s="17" t="s">
        <v>75</v>
      </c>
    </row>
    <row r="100" spans="1:13" ht="34.5" customHeight="1" x14ac:dyDescent="0.25">
      <c r="A100" s="16">
        <v>99</v>
      </c>
      <c r="B100" s="21" t="s">
        <v>320</v>
      </c>
      <c r="C100" s="17" t="s">
        <v>149</v>
      </c>
      <c r="D100" s="17" t="s">
        <v>70</v>
      </c>
      <c r="E100" s="17" t="str">
        <f>IF(Table3[[#This Row],[Hazard Type RAW]]="NA",Table3[[#This Row],[BSC Type]],IF(Table3[[#This Row],[Hazard Type RAW]]="Others","Others - "&amp;Table3[[#This Row],[BSC Type]],Table3[[#This Row],[Hazard Type RAW]]))</f>
        <v>Safe Act</v>
      </c>
      <c r="F100" s="18">
        <v>46289</v>
      </c>
      <c r="G100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00" s="18">
        <v>46289</v>
      </c>
      <c r="I100" s="17" t="s">
        <v>92</v>
      </c>
      <c r="J100" s="17" t="s">
        <v>82</v>
      </c>
      <c r="K100" s="17" t="s">
        <v>73</v>
      </c>
      <c r="L100" s="19" t="s">
        <v>321</v>
      </c>
      <c r="M100" s="17" t="s">
        <v>75</v>
      </c>
    </row>
    <row r="101" spans="1:13" ht="34.5" customHeight="1" x14ac:dyDescent="0.25">
      <c r="A101" s="22">
        <v>100</v>
      </c>
      <c r="B101" s="21" t="s">
        <v>322</v>
      </c>
      <c r="C101" s="17" t="s">
        <v>77</v>
      </c>
      <c r="D101" s="17" t="s">
        <v>70</v>
      </c>
      <c r="E101" s="17" t="str">
        <f>IF(Table3[[#This Row],[Hazard Type RAW]]="NA",Table3[[#This Row],[BSC Type]],IF(Table3[[#This Row],[Hazard Type RAW]]="Others","Others - "&amp;Table3[[#This Row],[BSC Type]],Table3[[#This Row],[Hazard Type RAW]]))</f>
        <v>Safe Condition</v>
      </c>
      <c r="F101" s="18">
        <v>46289</v>
      </c>
      <c r="G101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01" s="18">
        <v>46289</v>
      </c>
      <c r="I101" s="17" t="s">
        <v>92</v>
      </c>
      <c r="J101" s="17" t="s">
        <v>82</v>
      </c>
      <c r="K101" s="17" t="s">
        <v>73</v>
      </c>
      <c r="L101" s="19" t="s">
        <v>323</v>
      </c>
      <c r="M101" s="17" t="s">
        <v>75</v>
      </c>
    </row>
    <row r="102" spans="1:13" ht="34.5" customHeight="1" x14ac:dyDescent="0.25">
      <c r="A102" s="16">
        <v>101</v>
      </c>
      <c r="B102" s="21" t="s">
        <v>324</v>
      </c>
      <c r="C102" s="17" t="s">
        <v>88</v>
      </c>
      <c r="D102" s="17" t="s">
        <v>99</v>
      </c>
      <c r="E102" s="17" t="str">
        <f>IF(Table3[[#This Row],[Hazard Type RAW]]="NA",Table3[[#This Row],[BSC Type]],IF(Table3[[#This Row],[Hazard Type RAW]]="Others","Others - "&amp;Table3[[#This Row],[BSC Type]],Table3[[#This Row],[Hazard Type RAW]]))</f>
        <v>Poor Housekeeping/Disorder</v>
      </c>
      <c r="F102" s="18">
        <v>46289</v>
      </c>
      <c r="G102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02" s="18">
        <v>46289</v>
      </c>
      <c r="I102" s="17" t="s">
        <v>92</v>
      </c>
      <c r="J102" s="17" t="s">
        <v>82</v>
      </c>
      <c r="K102" s="17" t="s">
        <v>73</v>
      </c>
      <c r="L102" s="19" t="s">
        <v>325</v>
      </c>
      <c r="M102" s="17" t="s">
        <v>75</v>
      </c>
    </row>
    <row r="103" spans="1:13" ht="34.5" customHeight="1" x14ac:dyDescent="0.25">
      <c r="A103" s="22">
        <v>102</v>
      </c>
      <c r="B103" s="21" t="s">
        <v>326</v>
      </c>
      <c r="C103" s="17" t="s">
        <v>88</v>
      </c>
      <c r="D103" s="17" t="s">
        <v>117</v>
      </c>
      <c r="E103" s="17" t="str">
        <f>IF(Table3[[#This Row],[Hazard Type RAW]]="NA",Table3[[#This Row],[BSC Type]],IF(Table3[[#This Row],[Hazard Type RAW]]="Others","Others - "&amp;Table3[[#This Row],[BSC Type]],Table3[[#This Row],[Hazard Type RAW]]))</f>
        <v>Others - Unsafe Condition</v>
      </c>
      <c r="F103" s="18">
        <v>46289</v>
      </c>
      <c r="G103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03" s="18">
        <v>46289</v>
      </c>
      <c r="I103" s="17" t="s">
        <v>92</v>
      </c>
      <c r="J103" s="17" t="s">
        <v>82</v>
      </c>
      <c r="K103" s="17" t="s">
        <v>73</v>
      </c>
      <c r="L103" s="19" t="s">
        <v>327</v>
      </c>
      <c r="M103" s="17" t="s">
        <v>75</v>
      </c>
    </row>
    <row r="104" spans="1:13" ht="34.5" customHeight="1" x14ac:dyDescent="0.25">
      <c r="A104" s="16">
        <v>103</v>
      </c>
      <c r="B104" s="21" t="s">
        <v>328</v>
      </c>
      <c r="C104" s="17" t="s">
        <v>69</v>
      </c>
      <c r="D104" s="17" t="s">
        <v>70</v>
      </c>
      <c r="E104" s="17" t="str">
        <f>IF(Table3[[#This Row],[Hazard Type RAW]]="NA",Table3[[#This Row],[BSC Type]],IF(Table3[[#This Row],[Hazard Type RAW]]="Others","Others - "&amp;Table3[[#This Row],[BSC Type]],Table3[[#This Row],[Hazard Type RAW]]))</f>
        <v>Suggestion for Improvement</v>
      </c>
      <c r="F104" s="18">
        <v>46289</v>
      </c>
      <c r="G104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04" s="18">
        <v>46289</v>
      </c>
      <c r="I104" s="17" t="s">
        <v>280</v>
      </c>
      <c r="J104" s="17" t="s">
        <v>82</v>
      </c>
      <c r="K104" s="17" t="s">
        <v>73</v>
      </c>
      <c r="L104" s="19" t="s">
        <v>329</v>
      </c>
      <c r="M104" s="17" t="s">
        <v>75</v>
      </c>
    </row>
    <row r="105" spans="1:13" ht="34.5" customHeight="1" x14ac:dyDescent="0.25">
      <c r="A105" s="22">
        <v>104</v>
      </c>
      <c r="B105" s="21" t="s">
        <v>330</v>
      </c>
      <c r="C105" s="17" t="s">
        <v>69</v>
      </c>
      <c r="D105" s="17" t="s">
        <v>70</v>
      </c>
      <c r="E105" s="17" t="str">
        <f>IF(Table3[[#This Row],[Hazard Type RAW]]="NA",Table3[[#This Row],[BSC Type]],IF(Table3[[#This Row],[Hazard Type RAW]]="Others","Others - "&amp;Table3[[#This Row],[BSC Type]],Table3[[#This Row],[Hazard Type RAW]]))</f>
        <v>Suggestion for Improvement</v>
      </c>
      <c r="F105" s="18">
        <v>46289</v>
      </c>
      <c r="G105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05" s="18">
        <v>46289</v>
      </c>
      <c r="I105" s="17" t="s">
        <v>331</v>
      </c>
      <c r="J105" s="17" t="s">
        <v>22</v>
      </c>
      <c r="K105" s="17" t="s">
        <v>193</v>
      </c>
      <c r="L105" s="19" t="s">
        <v>332</v>
      </c>
      <c r="M105" s="17" t="s">
        <v>75</v>
      </c>
    </row>
    <row r="106" spans="1:13" ht="34.5" customHeight="1" x14ac:dyDescent="0.25">
      <c r="A106" s="16">
        <v>105</v>
      </c>
      <c r="B106" s="21" t="s">
        <v>333</v>
      </c>
      <c r="C106" s="17" t="s">
        <v>88</v>
      </c>
      <c r="D106" s="17" t="s">
        <v>89</v>
      </c>
      <c r="E106" s="17" t="str">
        <f>IF(Table3[[#This Row],[Hazard Type RAW]]="NA",Table3[[#This Row],[BSC Type]],IF(Table3[[#This Row],[Hazard Type RAW]]="Others","Others - "&amp;Table3[[#This Row],[BSC Type]],Table3[[#This Row],[Hazard Type RAW]]))</f>
        <v>Inadequate Warning System</v>
      </c>
      <c r="F106" s="18">
        <v>46290</v>
      </c>
      <c r="G106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06" s="18">
        <v>46290</v>
      </c>
      <c r="I106" s="17" t="s">
        <v>334</v>
      </c>
      <c r="J106" s="17" t="s">
        <v>82</v>
      </c>
      <c r="K106" s="17" t="s">
        <v>175</v>
      </c>
      <c r="L106" s="19" t="s">
        <v>335</v>
      </c>
      <c r="M106" s="17" t="s">
        <v>75</v>
      </c>
    </row>
    <row r="107" spans="1:13" ht="34.5" customHeight="1" x14ac:dyDescent="0.25">
      <c r="A107" s="22">
        <v>106</v>
      </c>
      <c r="B107" s="21" t="s">
        <v>336</v>
      </c>
      <c r="C107" s="17" t="s">
        <v>88</v>
      </c>
      <c r="D107" s="17" t="s">
        <v>89</v>
      </c>
      <c r="E107" s="17" t="str">
        <f>IF(Table3[[#This Row],[Hazard Type RAW]]="NA",Table3[[#This Row],[BSC Type]],IF(Table3[[#This Row],[Hazard Type RAW]]="Others","Others - "&amp;Table3[[#This Row],[BSC Type]],Table3[[#This Row],[Hazard Type RAW]]))</f>
        <v>Inadequate Warning System</v>
      </c>
      <c r="F107" s="18">
        <v>46290</v>
      </c>
      <c r="G107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07" s="18">
        <v>46290</v>
      </c>
      <c r="I107" s="17" t="s">
        <v>334</v>
      </c>
      <c r="J107" s="17" t="s">
        <v>82</v>
      </c>
      <c r="K107" s="17" t="s">
        <v>175</v>
      </c>
      <c r="L107" s="19" t="s">
        <v>337</v>
      </c>
      <c r="M107" s="17" t="s">
        <v>75</v>
      </c>
    </row>
    <row r="108" spans="1:13" ht="34.5" customHeight="1" x14ac:dyDescent="0.25">
      <c r="A108" s="16">
        <v>107</v>
      </c>
      <c r="B108" s="21" t="s">
        <v>338</v>
      </c>
      <c r="C108" s="17" t="s">
        <v>88</v>
      </c>
      <c r="D108" s="17" t="s">
        <v>117</v>
      </c>
      <c r="E108" s="17" t="str">
        <f>IF(Table3[[#This Row],[Hazard Type RAW]]="NA",Table3[[#This Row],[BSC Type]],IF(Table3[[#This Row],[Hazard Type RAW]]="Others","Others - "&amp;Table3[[#This Row],[BSC Type]],Table3[[#This Row],[Hazard Type RAW]]))</f>
        <v>Others - Unsafe Condition</v>
      </c>
      <c r="F108" s="18">
        <v>46290</v>
      </c>
      <c r="G108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08" s="18">
        <v>46290</v>
      </c>
      <c r="I108" s="17" t="s">
        <v>339</v>
      </c>
      <c r="J108" s="17" t="s">
        <v>82</v>
      </c>
      <c r="K108" s="17" t="s">
        <v>175</v>
      </c>
      <c r="L108" s="19" t="s">
        <v>340</v>
      </c>
      <c r="M108" s="17" t="s">
        <v>75</v>
      </c>
    </row>
    <row r="109" spans="1:13" ht="34.5" customHeight="1" x14ac:dyDescent="0.25">
      <c r="A109" s="22">
        <v>108</v>
      </c>
      <c r="B109" s="21" t="s">
        <v>341</v>
      </c>
      <c r="C109" s="17" t="s">
        <v>88</v>
      </c>
      <c r="D109" s="17" t="s">
        <v>117</v>
      </c>
      <c r="E109" s="17" t="str">
        <f>IF(Table3[[#This Row],[Hazard Type RAW]]="NA",Table3[[#This Row],[BSC Type]],IF(Table3[[#This Row],[Hazard Type RAW]]="Others","Others - "&amp;Table3[[#This Row],[BSC Type]],Table3[[#This Row],[Hazard Type RAW]]))</f>
        <v>Others - Unsafe Condition</v>
      </c>
      <c r="F109" s="18">
        <v>46290</v>
      </c>
      <c r="G109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09" s="18">
        <v>46290</v>
      </c>
      <c r="I109" s="17" t="s">
        <v>81</v>
      </c>
      <c r="J109" s="17" t="s">
        <v>82</v>
      </c>
      <c r="K109" s="17" t="s">
        <v>73</v>
      </c>
      <c r="L109" s="19" t="s">
        <v>342</v>
      </c>
      <c r="M109" s="17" t="s">
        <v>75</v>
      </c>
    </row>
    <row r="110" spans="1:13" ht="34.5" customHeight="1" x14ac:dyDescent="0.25">
      <c r="A110" s="16">
        <v>109</v>
      </c>
      <c r="B110" s="21" t="s">
        <v>343</v>
      </c>
      <c r="C110" s="17" t="s">
        <v>88</v>
      </c>
      <c r="D110" s="17" t="s">
        <v>89</v>
      </c>
      <c r="E110" s="17" t="str">
        <f>IF(Table3[[#This Row],[Hazard Type RAW]]="NA",Table3[[#This Row],[BSC Type]],IF(Table3[[#This Row],[Hazard Type RAW]]="Others","Others - "&amp;Table3[[#This Row],[BSC Type]],Table3[[#This Row],[Hazard Type RAW]]))</f>
        <v>Inadequate Warning System</v>
      </c>
      <c r="F110" s="18">
        <v>46290</v>
      </c>
      <c r="G110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10" s="18">
        <v>46290</v>
      </c>
      <c r="I110" s="17" t="s">
        <v>81</v>
      </c>
      <c r="J110" s="17" t="s">
        <v>82</v>
      </c>
      <c r="K110" s="17" t="s">
        <v>73</v>
      </c>
      <c r="L110" s="19" t="s">
        <v>344</v>
      </c>
      <c r="M110" s="17" t="s">
        <v>75</v>
      </c>
    </row>
    <row r="111" spans="1:13" ht="34.5" customHeight="1" x14ac:dyDescent="0.25">
      <c r="A111" s="22">
        <v>110</v>
      </c>
      <c r="B111" s="21" t="s">
        <v>345</v>
      </c>
      <c r="C111" s="17" t="s">
        <v>69</v>
      </c>
      <c r="D111" s="17" t="s">
        <v>70</v>
      </c>
      <c r="E111" s="17" t="str">
        <f>IF(Table3[[#This Row],[Hazard Type RAW]]="NA",Table3[[#This Row],[BSC Type]],IF(Table3[[#This Row],[Hazard Type RAW]]="Others","Others - "&amp;Table3[[#This Row],[BSC Type]],Table3[[#This Row],[Hazard Type RAW]]))</f>
        <v>Suggestion for Improvement</v>
      </c>
      <c r="F111" s="18">
        <v>46290</v>
      </c>
      <c r="G111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11" s="18">
        <v>46290</v>
      </c>
      <c r="I111" s="17" t="s">
        <v>81</v>
      </c>
      <c r="J111" s="17" t="s">
        <v>82</v>
      </c>
      <c r="K111" s="17" t="s">
        <v>73</v>
      </c>
      <c r="L111" s="19" t="s">
        <v>346</v>
      </c>
      <c r="M111" s="17" t="s">
        <v>75</v>
      </c>
    </row>
    <row r="112" spans="1:13" ht="34.5" customHeight="1" x14ac:dyDescent="0.25">
      <c r="A112" s="16">
        <v>111</v>
      </c>
      <c r="B112" s="21" t="s">
        <v>347</v>
      </c>
      <c r="C112" s="17" t="s">
        <v>88</v>
      </c>
      <c r="D112" s="17" t="s">
        <v>117</v>
      </c>
      <c r="E112" s="17" t="str">
        <f>IF(Table3[[#This Row],[Hazard Type RAW]]="NA",Table3[[#This Row],[BSC Type]],IF(Table3[[#This Row],[Hazard Type RAW]]="Others","Others - "&amp;Table3[[#This Row],[BSC Type]],Table3[[#This Row],[Hazard Type RAW]]))</f>
        <v>Others - Unsafe Condition</v>
      </c>
      <c r="F112" s="18">
        <v>46290</v>
      </c>
      <c r="G112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12" s="18">
        <v>46290</v>
      </c>
      <c r="I112" s="17" t="s">
        <v>111</v>
      </c>
      <c r="J112" s="17" t="s">
        <v>82</v>
      </c>
      <c r="K112" s="17" t="s">
        <v>73</v>
      </c>
      <c r="L112" s="19" t="s">
        <v>348</v>
      </c>
      <c r="M112" s="17" t="s">
        <v>75</v>
      </c>
    </row>
    <row r="113" spans="1:13" ht="34.5" customHeight="1" x14ac:dyDescent="0.25">
      <c r="A113" s="22">
        <v>112</v>
      </c>
      <c r="B113" s="21" t="s">
        <v>349</v>
      </c>
      <c r="C113" s="17" t="s">
        <v>88</v>
      </c>
      <c r="D113" s="17" t="s">
        <v>89</v>
      </c>
      <c r="E113" s="17" t="str">
        <f>IF(Table3[[#This Row],[Hazard Type RAW]]="NA",Table3[[#This Row],[BSC Type]],IF(Table3[[#This Row],[Hazard Type RAW]]="Others","Others - "&amp;Table3[[#This Row],[BSC Type]],Table3[[#This Row],[Hazard Type RAW]]))</f>
        <v>Inadequate Warning System</v>
      </c>
      <c r="F113" s="18">
        <v>46290</v>
      </c>
      <c r="G113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13" s="18">
        <v>46290</v>
      </c>
      <c r="I113" s="17" t="s">
        <v>81</v>
      </c>
      <c r="J113" s="17" t="s">
        <v>82</v>
      </c>
      <c r="K113" s="17" t="s">
        <v>73</v>
      </c>
      <c r="L113" s="19" t="s">
        <v>350</v>
      </c>
      <c r="M113" s="17" t="s">
        <v>75</v>
      </c>
    </row>
    <row r="114" spans="1:13" ht="34.5" customHeight="1" x14ac:dyDescent="0.25">
      <c r="A114" s="16">
        <v>113</v>
      </c>
      <c r="B114" s="21" t="s">
        <v>351</v>
      </c>
      <c r="C114" s="17" t="s">
        <v>88</v>
      </c>
      <c r="D114" s="17" t="s">
        <v>89</v>
      </c>
      <c r="E114" s="17" t="str">
        <f>IF(Table3[[#This Row],[Hazard Type RAW]]="NA",Table3[[#This Row],[BSC Type]],IF(Table3[[#This Row],[Hazard Type RAW]]="Others","Others - "&amp;Table3[[#This Row],[BSC Type]],Table3[[#This Row],[Hazard Type RAW]]))</f>
        <v>Inadequate Warning System</v>
      </c>
      <c r="F114" s="18">
        <v>46290</v>
      </c>
      <c r="G114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14" s="18">
        <v>46290</v>
      </c>
      <c r="I114" s="17" t="s">
        <v>81</v>
      </c>
      <c r="J114" s="17" t="s">
        <v>82</v>
      </c>
      <c r="K114" s="17" t="s">
        <v>73</v>
      </c>
      <c r="L114" s="19" t="s">
        <v>352</v>
      </c>
      <c r="M114" s="17" t="s">
        <v>75</v>
      </c>
    </row>
    <row r="115" spans="1:13" ht="34.5" customHeight="1" x14ac:dyDescent="0.25">
      <c r="A115" s="22">
        <v>114</v>
      </c>
      <c r="B115" s="21" t="s">
        <v>353</v>
      </c>
      <c r="C115" s="17" t="s">
        <v>88</v>
      </c>
      <c r="D115" s="17" t="s">
        <v>89</v>
      </c>
      <c r="E115" s="17" t="str">
        <f>IF(Table3[[#This Row],[Hazard Type RAW]]="NA",Table3[[#This Row],[BSC Type]],IF(Table3[[#This Row],[Hazard Type RAW]]="Others","Others - "&amp;Table3[[#This Row],[BSC Type]],Table3[[#This Row],[Hazard Type RAW]]))</f>
        <v>Inadequate Warning System</v>
      </c>
      <c r="F115" s="18">
        <v>46290</v>
      </c>
      <c r="G115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15" s="18">
        <v>46290</v>
      </c>
      <c r="I115" s="17" t="s">
        <v>81</v>
      </c>
      <c r="J115" s="17" t="s">
        <v>82</v>
      </c>
      <c r="K115" s="17" t="s">
        <v>73</v>
      </c>
      <c r="L115" s="19" t="s">
        <v>354</v>
      </c>
      <c r="M115" s="17" t="s">
        <v>75</v>
      </c>
    </row>
    <row r="116" spans="1:13" ht="34.5" customHeight="1" x14ac:dyDescent="0.25">
      <c r="A116" s="16">
        <v>115</v>
      </c>
      <c r="B116" s="21" t="s">
        <v>355</v>
      </c>
      <c r="C116" s="17" t="s">
        <v>80</v>
      </c>
      <c r="D116" s="17" t="s">
        <v>70</v>
      </c>
      <c r="E116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116" s="18">
        <v>46290</v>
      </c>
      <c r="G116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16" s="18">
        <v>46290</v>
      </c>
      <c r="I116" s="17" t="s">
        <v>81</v>
      </c>
      <c r="J116" s="17" t="s">
        <v>82</v>
      </c>
      <c r="K116" s="17" t="s">
        <v>73</v>
      </c>
      <c r="L116" s="19" t="s">
        <v>356</v>
      </c>
      <c r="M116" s="17" t="s">
        <v>75</v>
      </c>
    </row>
    <row r="117" spans="1:13" ht="34.5" customHeight="1" x14ac:dyDescent="0.25">
      <c r="A117" s="22">
        <v>116</v>
      </c>
      <c r="B117" s="21" t="s">
        <v>357</v>
      </c>
      <c r="C117" s="17" t="s">
        <v>69</v>
      </c>
      <c r="D117" s="17" t="s">
        <v>70</v>
      </c>
      <c r="E117" s="17" t="str">
        <f>IF(Table3[[#This Row],[Hazard Type RAW]]="NA",Table3[[#This Row],[BSC Type]],IF(Table3[[#This Row],[Hazard Type RAW]]="Others","Others - "&amp;Table3[[#This Row],[BSC Type]],Table3[[#This Row],[Hazard Type RAW]]))</f>
        <v>Suggestion for Improvement</v>
      </c>
      <c r="F117" s="18">
        <v>46290</v>
      </c>
      <c r="G117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17" s="18">
        <v>46290</v>
      </c>
      <c r="I117" s="17" t="s">
        <v>111</v>
      </c>
      <c r="J117" s="17" t="s">
        <v>82</v>
      </c>
      <c r="K117" s="17" t="s">
        <v>73</v>
      </c>
      <c r="L117" s="19" t="s">
        <v>358</v>
      </c>
      <c r="M117" s="17" t="s">
        <v>75</v>
      </c>
    </row>
    <row r="118" spans="1:13" ht="34.5" customHeight="1" x14ac:dyDescent="0.25">
      <c r="A118" s="16">
        <v>117</v>
      </c>
      <c r="B118" s="21" t="s">
        <v>359</v>
      </c>
      <c r="C118" s="17" t="s">
        <v>80</v>
      </c>
      <c r="D118" s="17" t="s">
        <v>70</v>
      </c>
      <c r="E118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118" s="18">
        <v>46290</v>
      </c>
      <c r="G118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18" s="18">
        <v>46290</v>
      </c>
      <c r="I118" s="17" t="s">
        <v>111</v>
      </c>
      <c r="J118" s="17" t="s">
        <v>82</v>
      </c>
      <c r="K118" s="17" t="s">
        <v>73</v>
      </c>
      <c r="L118" s="19" t="s">
        <v>360</v>
      </c>
      <c r="M118" s="17" t="s">
        <v>75</v>
      </c>
    </row>
    <row r="119" spans="1:13" ht="34.5" customHeight="1" x14ac:dyDescent="0.25">
      <c r="A119" s="22">
        <v>118</v>
      </c>
      <c r="B119" s="21" t="s">
        <v>361</v>
      </c>
      <c r="C119" s="17" t="s">
        <v>142</v>
      </c>
      <c r="D119" s="17" t="s">
        <v>117</v>
      </c>
      <c r="E119" s="17" t="str">
        <f>IF(Table3[[#This Row],[Hazard Type RAW]]="NA",Table3[[#This Row],[BSC Type]],IF(Table3[[#This Row],[Hazard Type RAW]]="Others","Others - "&amp;Table3[[#This Row],[BSC Type]],Table3[[#This Row],[Hazard Type RAW]]))</f>
        <v>Others - Hazardous Environmental Condition</v>
      </c>
      <c r="F119" s="18">
        <v>46290</v>
      </c>
      <c r="G119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19" s="18">
        <v>46290</v>
      </c>
      <c r="I119" s="17" t="s">
        <v>111</v>
      </c>
      <c r="J119" s="17" t="s">
        <v>82</v>
      </c>
      <c r="K119" s="17" t="s">
        <v>73</v>
      </c>
      <c r="L119" s="19" t="s">
        <v>362</v>
      </c>
      <c r="M119" s="17" t="s">
        <v>75</v>
      </c>
    </row>
    <row r="120" spans="1:13" ht="34.5" customHeight="1" x14ac:dyDescent="0.25">
      <c r="A120" s="16">
        <v>119</v>
      </c>
      <c r="B120" s="21" t="s">
        <v>363</v>
      </c>
      <c r="C120" s="17" t="s">
        <v>69</v>
      </c>
      <c r="D120" s="17" t="s">
        <v>70</v>
      </c>
      <c r="E120" s="17" t="str">
        <f>IF(Table3[[#This Row],[Hazard Type RAW]]="NA",Table3[[#This Row],[BSC Type]],IF(Table3[[#This Row],[Hazard Type RAW]]="Others","Others - "&amp;Table3[[#This Row],[BSC Type]],Table3[[#This Row],[Hazard Type RAW]]))</f>
        <v>Suggestion for Improvement</v>
      </c>
      <c r="F120" s="18">
        <v>46290</v>
      </c>
      <c r="G120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20" s="18">
        <v>46290</v>
      </c>
      <c r="I120" s="17" t="s">
        <v>85</v>
      </c>
      <c r="J120" s="17" t="s">
        <v>82</v>
      </c>
      <c r="K120" s="17" t="s">
        <v>73</v>
      </c>
      <c r="L120" s="19" t="s">
        <v>364</v>
      </c>
      <c r="M120" s="17" t="s">
        <v>75</v>
      </c>
    </row>
    <row r="121" spans="1:13" ht="34.5" customHeight="1" x14ac:dyDescent="0.25">
      <c r="A121" s="22">
        <v>120</v>
      </c>
      <c r="B121" s="21" t="s">
        <v>365</v>
      </c>
      <c r="C121" s="17" t="s">
        <v>116</v>
      </c>
      <c r="D121" s="17" t="s">
        <v>183</v>
      </c>
      <c r="E121" s="17" t="str">
        <f>IF(Table3[[#This Row],[Hazard Type RAW]]="NA",Table3[[#This Row],[BSC Type]],IF(Table3[[#This Row],[Hazard Type RAW]]="Others","Others - "&amp;Table3[[#This Row],[BSC Type]],Table3[[#This Row],[Hazard Type RAW]]))</f>
        <v>Inadequate or Improper Protective Equipment</v>
      </c>
      <c r="F121" s="18">
        <v>46290</v>
      </c>
      <c r="G121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21" s="18">
        <v>46290</v>
      </c>
      <c r="I121" s="17" t="s">
        <v>92</v>
      </c>
      <c r="J121" s="17" t="s">
        <v>82</v>
      </c>
      <c r="K121" s="17" t="s">
        <v>73</v>
      </c>
      <c r="L121" s="19" t="s">
        <v>366</v>
      </c>
      <c r="M121" s="17" t="s">
        <v>75</v>
      </c>
    </row>
    <row r="122" spans="1:13" ht="34.5" customHeight="1" x14ac:dyDescent="0.25">
      <c r="A122" s="16">
        <v>121</v>
      </c>
      <c r="B122" s="21" t="s">
        <v>367</v>
      </c>
      <c r="C122" s="17" t="s">
        <v>80</v>
      </c>
      <c r="D122" s="17" t="s">
        <v>70</v>
      </c>
      <c r="E122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122" s="18">
        <v>46290</v>
      </c>
      <c r="G122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22" s="18">
        <v>46290</v>
      </c>
      <c r="I122" s="17" t="s">
        <v>280</v>
      </c>
      <c r="J122" s="17" t="s">
        <v>82</v>
      </c>
      <c r="K122" s="17" t="s">
        <v>73</v>
      </c>
      <c r="L122" s="19" t="s">
        <v>368</v>
      </c>
      <c r="M122" s="17" t="s">
        <v>75</v>
      </c>
    </row>
    <row r="123" spans="1:13" ht="34.5" customHeight="1" x14ac:dyDescent="0.25">
      <c r="A123" s="22">
        <v>122</v>
      </c>
      <c r="B123" s="21" t="s">
        <v>369</v>
      </c>
      <c r="C123" s="17" t="s">
        <v>80</v>
      </c>
      <c r="D123" s="17" t="s">
        <v>70</v>
      </c>
      <c r="E123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123" s="18">
        <v>46290</v>
      </c>
      <c r="G123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23" s="18">
        <v>46290</v>
      </c>
      <c r="I123" s="17" t="s">
        <v>280</v>
      </c>
      <c r="J123" s="17" t="s">
        <v>82</v>
      </c>
      <c r="K123" s="17" t="s">
        <v>73</v>
      </c>
      <c r="L123" s="19" t="s">
        <v>370</v>
      </c>
      <c r="M123" s="17" t="s">
        <v>75</v>
      </c>
    </row>
    <row r="124" spans="1:13" ht="34.5" customHeight="1" x14ac:dyDescent="0.25">
      <c r="A124" s="16">
        <v>123</v>
      </c>
      <c r="B124" s="21" t="s">
        <v>371</v>
      </c>
      <c r="C124" s="17" t="s">
        <v>88</v>
      </c>
      <c r="D124" s="17" t="s">
        <v>99</v>
      </c>
      <c r="E124" s="17" t="str">
        <f>IF(Table3[[#This Row],[Hazard Type RAW]]="NA",Table3[[#This Row],[BSC Type]],IF(Table3[[#This Row],[Hazard Type RAW]]="Others","Others - "&amp;Table3[[#This Row],[BSC Type]],Table3[[#This Row],[Hazard Type RAW]]))</f>
        <v>Poor Housekeeping/Disorder</v>
      </c>
      <c r="F124" s="18">
        <v>46290</v>
      </c>
      <c r="G124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24" s="18">
        <v>46290</v>
      </c>
      <c r="I124" s="17" t="s">
        <v>92</v>
      </c>
      <c r="J124" s="17" t="s">
        <v>82</v>
      </c>
      <c r="K124" s="17" t="s">
        <v>73</v>
      </c>
      <c r="L124" s="19" t="s">
        <v>372</v>
      </c>
      <c r="M124" s="17" t="s">
        <v>75</v>
      </c>
    </row>
    <row r="125" spans="1:13" ht="34.5" customHeight="1" x14ac:dyDescent="0.25">
      <c r="A125" s="22">
        <v>124</v>
      </c>
      <c r="B125" s="21" t="s">
        <v>373</v>
      </c>
      <c r="C125" s="17" t="s">
        <v>80</v>
      </c>
      <c r="D125" s="17" t="s">
        <v>70</v>
      </c>
      <c r="E125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125" s="18">
        <v>46290</v>
      </c>
      <c r="G125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25" s="18">
        <v>46290</v>
      </c>
      <c r="I125" s="17" t="s">
        <v>280</v>
      </c>
      <c r="J125" s="17" t="s">
        <v>82</v>
      </c>
      <c r="K125" s="17" t="s">
        <v>73</v>
      </c>
      <c r="L125" s="19" t="s">
        <v>374</v>
      </c>
      <c r="M125" s="17" t="s">
        <v>75</v>
      </c>
    </row>
    <row r="126" spans="1:13" ht="34.5" customHeight="1" x14ac:dyDescent="0.25">
      <c r="A126" s="16">
        <v>125</v>
      </c>
      <c r="B126" s="21" t="s">
        <v>375</v>
      </c>
      <c r="C126" s="17" t="s">
        <v>88</v>
      </c>
      <c r="D126" s="17" t="s">
        <v>376</v>
      </c>
      <c r="E126" s="17" t="str">
        <f>IF(Table3[[#This Row],[Hazard Type RAW]]="NA",Table3[[#This Row],[BSC Type]],IF(Table3[[#This Row],[Hazard Type RAW]]="Others","Others - "&amp;Table3[[#This Row],[BSC Type]],Table3[[#This Row],[Hazard Type RAW]]))</f>
        <v>Fire &amp; explosion Hazards</v>
      </c>
      <c r="F126" s="18">
        <v>46290</v>
      </c>
      <c r="G126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26" s="18">
        <v>46290</v>
      </c>
      <c r="I126" s="17" t="s">
        <v>92</v>
      </c>
      <c r="J126" s="17" t="s">
        <v>82</v>
      </c>
      <c r="K126" s="17" t="s">
        <v>73</v>
      </c>
      <c r="L126" s="19" t="s">
        <v>377</v>
      </c>
      <c r="M126" s="17" t="s">
        <v>75</v>
      </c>
    </row>
    <row r="127" spans="1:13" ht="34.5" customHeight="1" x14ac:dyDescent="0.25">
      <c r="A127" s="22">
        <v>126</v>
      </c>
      <c r="B127" s="21" t="s">
        <v>378</v>
      </c>
      <c r="C127" s="17" t="s">
        <v>80</v>
      </c>
      <c r="D127" s="17" t="s">
        <v>70</v>
      </c>
      <c r="E127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127" s="18">
        <v>46290</v>
      </c>
      <c r="G127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27" s="18">
        <v>46290</v>
      </c>
      <c r="I127" s="17" t="s">
        <v>280</v>
      </c>
      <c r="J127" s="17" t="s">
        <v>82</v>
      </c>
      <c r="K127" s="17" t="s">
        <v>73</v>
      </c>
      <c r="L127" s="19" t="s">
        <v>379</v>
      </c>
      <c r="M127" s="17" t="s">
        <v>75</v>
      </c>
    </row>
    <row r="128" spans="1:13" ht="34.5" customHeight="1" x14ac:dyDescent="0.25">
      <c r="A128" s="16">
        <v>127</v>
      </c>
      <c r="B128" s="21" t="s">
        <v>380</v>
      </c>
      <c r="C128" s="17" t="s">
        <v>80</v>
      </c>
      <c r="D128" s="17" t="s">
        <v>70</v>
      </c>
      <c r="E128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128" s="18">
        <v>46290</v>
      </c>
      <c r="G128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28" s="18">
        <v>46290</v>
      </c>
      <c r="I128" s="17" t="s">
        <v>85</v>
      </c>
      <c r="J128" s="17" t="s">
        <v>82</v>
      </c>
      <c r="K128" s="17" t="s">
        <v>73</v>
      </c>
      <c r="L128" s="19" t="s">
        <v>381</v>
      </c>
      <c r="M128" s="17" t="s">
        <v>75</v>
      </c>
    </row>
    <row r="129" spans="1:13" ht="34.5" customHeight="1" x14ac:dyDescent="0.25">
      <c r="A129" s="22">
        <v>128</v>
      </c>
      <c r="B129" s="21" t="s">
        <v>382</v>
      </c>
      <c r="C129" s="17" t="s">
        <v>80</v>
      </c>
      <c r="D129" s="17" t="s">
        <v>70</v>
      </c>
      <c r="E129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129" s="18">
        <v>46290</v>
      </c>
      <c r="G129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29" s="18">
        <v>46290</v>
      </c>
      <c r="I129" s="17" t="s">
        <v>81</v>
      </c>
      <c r="J129" s="17" t="s">
        <v>82</v>
      </c>
      <c r="K129" s="17" t="s">
        <v>73</v>
      </c>
      <c r="L129" s="19" t="s">
        <v>383</v>
      </c>
      <c r="M129" s="17" t="s">
        <v>75</v>
      </c>
    </row>
    <row r="130" spans="1:13" ht="34.5" customHeight="1" x14ac:dyDescent="0.25">
      <c r="A130" s="16">
        <v>129</v>
      </c>
      <c r="B130" s="21" t="s">
        <v>384</v>
      </c>
      <c r="C130" s="17" t="s">
        <v>80</v>
      </c>
      <c r="D130" s="17" t="s">
        <v>70</v>
      </c>
      <c r="E130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130" s="18">
        <v>46290</v>
      </c>
      <c r="G130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30" s="18">
        <v>46290</v>
      </c>
      <c r="I130" s="17" t="s">
        <v>81</v>
      </c>
      <c r="J130" s="17" t="s">
        <v>82</v>
      </c>
      <c r="K130" s="17" t="s">
        <v>73</v>
      </c>
      <c r="L130" s="19" t="s">
        <v>385</v>
      </c>
      <c r="M130" s="17" t="s">
        <v>75</v>
      </c>
    </row>
    <row r="131" spans="1:13" ht="34.5" customHeight="1" x14ac:dyDescent="0.25">
      <c r="A131" s="22">
        <v>130</v>
      </c>
      <c r="B131" s="21" t="s">
        <v>386</v>
      </c>
      <c r="C131" s="17" t="s">
        <v>80</v>
      </c>
      <c r="D131" s="17" t="s">
        <v>70</v>
      </c>
      <c r="E131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131" s="18">
        <v>46290</v>
      </c>
      <c r="G131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31" s="18">
        <v>46290</v>
      </c>
      <c r="I131" s="17" t="s">
        <v>81</v>
      </c>
      <c r="J131" s="17" t="s">
        <v>82</v>
      </c>
      <c r="K131" s="17" t="s">
        <v>73</v>
      </c>
      <c r="L131" s="19" t="s">
        <v>387</v>
      </c>
      <c r="M131" s="17" t="s">
        <v>75</v>
      </c>
    </row>
    <row r="132" spans="1:13" ht="34.5" customHeight="1" x14ac:dyDescent="0.25">
      <c r="A132" s="16">
        <v>131</v>
      </c>
      <c r="B132" s="21" t="s">
        <v>388</v>
      </c>
      <c r="C132" s="17" t="s">
        <v>116</v>
      </c>
      <c r="D132" s="17" t="s">
        <v>183</v>
      </c>
      <c r="E132" s="17" t="str">
        <f>IF(Table3[[#This Row],[Hazard Type RAW]]="NA",Table3[[#This Row],[BSC Type]],IF(Table3[[#This Row],[Hazard Type RAW]]="Others","Others - "&amp;Table3[[#This Row],[BSC Type]],Table3[[#This Row],[Hazard Type RAW]]))</f>
        <v>Inadequate or Improper Protective Equipment</v>
      </c>
      <c r="F132" s="18">
        <v>46290</v>
      </c>
      <c r="G132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32" s="18">
        <v>46290</v>
      </c>
      <c r="I132" s="17" t="s">
        <v>81</v>
      </c>
      <c r="J132" s="17" t="s">
        <v>82</v>
      </c>
      <c r="K132" s="17" t="s">
        <v>73</v>
      </c>
      <c r="L132" s="19" t="s">
        <v>389</v>
      </c>
      <c r="M132" s="17" t="s">
        <v>75</v>
      </c>
    </row>
    <row r="133" spans="1:13" ht="34.5" customHeight="1" x14ac:dyDescent="0.25">
      <c r="A133" s="22">
        <v>132</v>
      </c>
      <c r="B133" s="21" t="s">
        <v>390</v>
      </c>
      <c r="C133" s="17" t="s">
        <v>80</v>
      </c>
      <c r="D133" s="17" t="s">
        <v>70</v>
      </c>
      <c r="E133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133" s="18">
        <v>46290</v>
      </c>
      <c r="G133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33" s="18">
        <v>46290</v>
      </c>
      <c r="I133" s="17" t="s">
        <v>111</v>
      </c>
      <c r="J133" s="17" t="s">
        <v>82</v>
      </c>
      <c r="K133" s="17" t="s">
        <v>73</v>
      </c>
      <c r="L133" s="19" t="s">
        <v>391</v>
      </c>
      <c r="M133" s="17" t="s">
        <v>75</v>
      </c>
    </row>
    <row r="134" spans="1:13" ht="34.5" customHeight="1" x14ac:dyDescent="0.25">
      <c r="A134" s="16">
        <v>133</v>
      </c>
      <c r="B134" s="21" t="s">
        <v>392</v>
      </c>
      <c r="C134" s="17" t="s">
        <v>80</v>
      </c>
      <c r="D134" s="17" t="s">
        <v>70</v>
      </c>
      <c r="E134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134" s="18">
        <v>46290</v>
      </c>
      <c r="G134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34" s="18">
        <v>46290</v>
      </c>
      <c r="I134" s="17" t="s">
        <v>81</v>
      </c>
      <c r="J134" s="17" t="s">
        <v>82</v>
      </c>
      <c r="K134" s="17" t="s">
        <v>73</v>
      </c>
      <c r="L134" s="19" t="s">
        <v>393</v>
      </c>
      <c r="M134" s="17" t="s">
        <v>75</v>
      </c>
    </row>
    <row r="135" spans="1:13" ht="34.5" customHeight="1" x14ac:dyDescent="0.25">
      <c r="A135" s="22">
        <v>134</v>
      </c>
      <c r="B135" s="21" t="s">
        <v>394</v>
      </c>
      <c r="C135" s="17" t="s">
        <v>116</v>
      </c>
      <c r="D135" s="17" t="s">
        <v>183</v>
      </c>
      <c r="E135" s="17" t="str">
        <f>IF(Table3[[#This Row],[Hazard Type RAW]]="NA",Table3[[#This Row],[BSC Type]],IF(Table3[[#This Row],[Hazard Type RAW]]="Others","Others - "&amp;Table3[[#This Row],[BSC Type]],Table3[[#This Row],[Hazard Type RAW]]))</f>
        <v>Inadequate or Improper Protective Equipment</v>
      </c>
      <c r="F135" s="18">
        <v>46290</v>
      </c>
      <c r="G135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35" s="18">
        <v>46290</v>
      </c>
      <c r="I135" s="17" t="s">
        <v>230</v>
      </c>
      <c r="J135" s="17" t="s">
        <v>82</v>
      </c>
      <c r="K135" s="17" t="s">
        <v>193</v>
      </c>
      <c r="L135" s="19" t="s">
        <v>395</v>
      </c>
      <c r="M135" s="17" t="s">
        <v>75</v>
      </c>
    </row>
    <row r="136" spans="1:13" ht="34.5" customHeight="1" x14ac:dyDescent="0.25">
      <c r="A136" s="16">
        <v>135</v>
      </c>
      <c r="B136" s="21" t="s">
        <v>396</v>
      </c>
      <c r="C136" s="17" t="s">
        <v>88</v>
      </c>
      <c r="D136" s="17" t="s">
        <v>117</v>
      </c>
      <c r="E136" s="17" t="str">
        <f>IF(Table3[[#This Row],[Hazard Type RAW]]="NA",Table3[[#This Row],[BSC Type]],IF(Table3[[#This Row],[Hazard Type RAW]]="Others","Others - "&amp;Table3[[#This Row],[BSC Type]],Table3[[#This Row],[Hazard Type RAW]]))</f>
        <v>Others - Unsafe Condition</v>
      </c>
      <c r="F136" s="18">
        <v>46290</v>
      </c>
      <c r="G136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36" s="18">
        <v>46290</v>
      </c>
      <c r="I136" s="17" t="s">
        <v>230</v>
      </c>
      <c r="J136" s="17" t="s">
        <v>82</v>
      </c>
      <c r="K136" s="17" t="s">
        <v>193</v>
      </c>
      <c r="L136" s="19" t="s">
        <v>397</v>
      </c>
      <c r="M136" s="17" t="s">
        <v>75</v>
      </c>
    </row>
    <row r="137" spans="1:13" ht="34.5" customHeight="1" x14ac:dyDescent="0.25">
      <c r="A137" s="22">
        <v>136</v>
      </c>
      <c r="B137" s="21" t="s">
        <v>398</v>
      </c>
      <c r="C137" s="17" t="s">
        <v>80</v>
      </c>
      <c r="D137" s="17" t="s">
        <v>70</v>
      </c>
      <c r="E137" s="17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137" s="18">
        <v>46290</v>
      </c>
      <c r="G137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37" s="18">
        <v>46290</v>
      </c>
      <c r="I137" s="17" t="s">
        <v>81</v>
      </c>
      <c r="J137" s="17" t="s">
        <v>82</v>
      </c>
      <c r="K137" s="17" t="s">
        <v>73</v>
      </c>
      <c r="L137" s="19" t="s">
        <v>399</v>
      </c>
      <c r="M137" s="17" t="s">
        <v>75</v>
      </c>
    </row>
    <row r="138" spans="1:13" ht="34.5" customHeight="1" x14ac:dyDescent="0.25">
      <c r="A138" s="16">
        <v>137</v>
      </c>
      <c r="B138" s="21" t="s">
        <v>400</v>
      </c>
      <c r="C138" s="17" t="s">
        <v>77</v>
      </c>
      <c r="D138" s="17" t="s">
        <v>70</v>
      </c>
      <c r="E138" s="17" t="str">
        <f>IF(Table3[[#This Row],[Hazard Type RAW]]="NA",Table3[[#This Row],[BSC Type]],IF(Table3[[#This Row],[Hazard Type RAW]]="Others","Others - "&amp;Table3[[#This Row],[BSC Type]],Table3[[#This Row],[Hazard Type RAW]]))</f>
        <v>Safe Condition</v>
      </c>
      <c r="F138" s="18">
        <v>46290</v>
      </c>
      <c r="G138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38" s="18">
        <v>46290</v>
      </c>
      <c r="I138" s="17" t="s">
        <v>111</v>
      </c>
      <c r="J138" s="17" t="s">
        <v>82</v>
      </c>
      <c r="K138" s="17" t="s">
        <v>73</v>
      </c>
      <c r="L138" s="19" t="s">
        <v>401</v>
      </c>
      <c r="M138" s="17" t="s">
        <v>75</v>
      </c>
    </row>
    <row r="139" spans="1:13" ht="34.5" customHeight="1" x14ac:dyDescent="0.25">
      <c r="A139" s="22">
        <v>138</v>
      </c>
      <c r="B139" s="21" t="s">
        <v>402</v>
      </c>
      <c r="C139" s="17" t="s">
        <v>88</v>
      </c>
      <c r="D139" s="17" t="s">
        <v>99</v>
      </c>
      <c r="E139" s="17" t="str">
        <f>IF(Table3[[#This Row],[Hazard Type RAW]]="NA",Table3[[#This Row],[BSC Type]],IF(Table3[[#This Row],[Hazard Type RAW]]="Others","Others - "&amp;Table3[[#This Row],[BSC Type]],Table3[[#This Row],[Hazard Type RAW]]))</f>
        <v>Poor Housekeeping/Disorder</v>
      </c>
      <c r="F139" s="18">
        <v>46290</v>
      </c>
      <c r="G139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39" s="18">
        <v>46290</v>
      </c>
      <c r="I139" s="17" t="s">
        <v>81</v>
      </c>
      <c r="J139" s="17" t="s">
        <v>82</v>
      </c>
      <c r="K139" s="17" t="s">
        <v>73</v>
      </c>
      <c r="L139" s="19" t="s">
        <v>403</v>
      </c>
      <c r="M139" s="17" t="s">
        <v>75</v>
      </c>
    </row>
    <row r="140" spans="1:13" ht="34.5" customHeight="1" x14ac:dyDescent="0.25">
      <c r="A140" s="16">
        <v>139</v>
      </c>
      <c r="B140" s="21" t="s">
        <v>404</v>
      </c>
      <c r="C140" s="17" t="s">
        <v>116</v>
      </c>
      <c r="D140" s="17" t="s">
        <v>183</v>
      </c>
      <c r="E140" s="17" t="str">
        <f>IF(Table3[[#This Row],[Hazard Type RAW]]="NA",Table3[[#This Row],[BSC Type]],IF(Table3[[#This Row],[Hazard Type RAW]]="Others","Others - "&amp;Table3[[#This Row],[BSC Type]],Table3[[#This Row],[Hazard Type RAW]]))</f>
        <v>Inadequate or Improper Protective Equipment</v>
      </c>
      <c r="F140" s="18">
        <v>46290</v>
      </c>
      <c r="G140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40" s="18">
        <v>46290</v>
      </c>
      <c r="I140" s="17" t="s">
        <v>111</v>
      </c>
      <c r="J140" s="17" t="s">
        <v>82</v>
      </c>
      <c r="K140" s="17" t="s">
        <v>73</v>
      </c>
      <c r="L140" s="19" t="s">
        <v>405</v>
      </c>
      <c r="M140" s="17" t="s">
        <v>75</v>
      </c>
    </row>
    <row r="141" spans="1:13" ht="34.5" customHeight="1" x14ac:dyDescent="0.25">
      <c r="A141" s="22">
        <v>140</v>
      </c>
      <c r="B141" s="21" t="s">
        <v>406</v>
      </c>
      <c r="C141" s="17" t="s">
        <v>116</v>
      </c>
      <c r="D141" s="17" t="s">
        <v>407</v>
      </c>
      <c r="E141" s="17" t="str">
        <f>IF(Table3[[#This Row],[Hazard Type RAW]]="NA",Table3[[#This Row],[BSC Type]],IF(Table3[[#This Row],[Hazard Type RAW]]="Others","Others - "&amp;Table3[[#This Row],[BSC Type]],Table3[[#This Row],[Hazard Type RAW]]))</f>
        <v>Operating at Improper Speed</v>
      </c>
      <c r="F141" s="18">
        <v>46290</v>
      </c>
      <c r="G141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41" s="18">
        <v>46290</v>
      </c>
      <c r="I141" s="17" t="s">
        <v>81</v>
      </c>
      <c r="J141" s="17" t="s">
        <v>82</v>
      </c>
      <c r="K141" s="17" t="s">
        <v>73</v>
      </c>
      <c r="L141" s="19" t="s">
        <v>408</v>
      </c>
      <c r="M141" s="17" t="s">
        <v>75</v>
      </c>
    </row>
    <row r="142" spans="1:13" ht="34.5" customHeight="1" x14ac:dyDescent="0.25">
      <c r="A142" s="16">
        <v>141</v>
      </c>
      <c r="B142" s="21" t="s">
        <v>409</v>
      </c>
      <c r="C142" s="17" t="s">
        <v>116</v>
      </c>
      <c r="D142" s="17" t="s">
        <v>117</v>
      </c>
      <c r="E142" s="17" t="str">
        <f>IF(Table3[[#This Row],[Hazard Type RAW]]="NA",Table3[[#This Row],[BSC Type]],IF(Table3[[#This Row],[Hazard Type RAW]]="Others","Others - "&amp;Table3[[#This Row],[BSC Type]],Table3[[#This Row],[Hazard Type RAW]]))</f>
        <v>Others - Unsafe Act</v>
      </c>
      <c r="F142" s="18">
        <v>46290</v>
      </c>
      <c r="G142" s="18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42" s="18">
        <v>46290</v>
      </c>
      <c r="I142" s="17" t="s">
        <v>111</v>
      </c>
      <c r="J142" s="17" t="s">
        <v>82</v>
      </c>
      <c r="K142" s="17" t="s">
        <v>73</v>
      </c>
      <c r="L142" s="19" t="s">
        <v>410</v>
      </c>
      <c r="M142" s="17" t="s">
        <v>75</v>
      </c>
    </row>
    <row r="143" spans="1:13" ht="34.5" customHeight="1" x14ac:dyDescent="0.25">
      <c r="A143" s="27">
        <v>142</v>
      </c>
      <c r="B143" s="28" t="s">
        <v>411</v>
      </c>
      <c r="C143" s="29" t="s">
        <v>80</v>
      </c>
      <c r="D143" s="29" t="s">
        <v>70</v>
      </c>
      <c r="E143" s="29" t="str">
        <f>IF(Table3[[#This Row],[Hazard Type RAW]]="NA",Table3[[#This Row],[BSC Type]],IF(Table3[[#This Row],[Hazard Type RAW]]="Others","Others - "&amp;Table3[[#This Row],[BSC Type]],Table3[[#This Row],[Hazard Type RAW]]))</f>
        <v>Good Catch</v>
      </c>
      <c r="F143" s="30">
        <v>46290</v>
      </c>
      <c r="G143" s="30" t="str">
        <f>IF(Table3[[#This Row],[Date Reported]]&lt;DATE(2026,4,11),"0",_xlfn.LET(
_xlpm.W,INT((Table3[[#This Row],[Date Reported]]-DATE(2026,4,11))/7)+1,
_xlpm.S,DATE(2026,4,11)+(_xlpm.W-1)*7,
_xlpm.E,_xlpm.S+6,
"W"&amp;TEXT(_xlpm.W,"00")&amp;" ("&amp;TEXT(_xlpm.S,"d/m")&amp;" - "&amp;TEXT(_xlpm.E,"d/m")&amp;")"
))</f>
        <v>W24 (19/9 - 25/9)</v>
      </c>
      <c r="H143" s="30">
        <v>46290</v>
      </c>
      <c r="I143" s="29" t="s">
        <v>92</v>
      </c>
      <c r="J143" s="17" t="s">
        <v>82</v>
      </c>
      <c r="K143" s="17" t="s">
        <v>73</v>
      </c>
      <c r="L143" s="31" t="s">
        <v>412</v>
      </c>
      <c r="M143" s="29" t="s">
        <v>75</v>
      </c>
    </row>
  </sheetData>
  <conditionalFormatting sqref="B1:B1048576"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5:O171"/>
  <sheetViews>
    <sheetView zoomScale="115" zoomScaleNormal="115" workbookViewId="0">
      <pane ySplit="5" topLeftCell="A141" activePane="bottomLeft" state="frozen"/>
      <selection pane="bottomLeft" activeCell="G166" sqref="G166"/>
    </sheetView>
  </sheetViews>
  <sheetFormatPr defaultColWidth="8.85546875" defaultRowHeight="12.75" x14ac:dyDescent="0.25"/>
  <cols>
    <col min="1" max="1" width="18.7109375" style="13" customWidth="1"/>
    <col min="2" max="2" width="13.7109375" style="13" customWidth="1"/>
    <col min="3" max="3" width="17.85546875" style="13" bestFit="1" customWidth="1"/>
    <col min="4" max="12" width="13.140625" style="13" customWidth="1"/>
    <col min="13" max="13" width="8.85546875" style="13" customWidth="1"/>
    <col min="14" max="16384" width="8.85546875" style="13"/>
  </cols>
  <sheetData>
    <row r="5" spans="1:12" ht="38.25" customHeight="1" x14ac:dyDescent="0.25">
      <c r="A5" s="34" t="s">
        <v>0</v>
      </c>
      <c r="B5" s="35" t="s">
        <v>1</v>
      </c>
      <c r="C5" s="35" t="s">
        <v>2</v>
      </c>
      <c r="D5" s="35" t="s">
        <v>3</v>
      </c>
      <c r="E5" s="36" t="s">
        <v>4</v>
      </c>
      <c r="F5" s="37" t="s">
        <v>5</v>
      </c>
      <c r="G5" s="37" t="s">
        <v>6</v>
      </c>
      <c r="H5" s="37" t="s">
        <v>7</v>
      </c>
      <c r="I5" s="37" t="s">
        <v>8</v>
      </c>
      <c r="J5" s="37" t="s">
        <v>9</v>
      </c>
      <c r="K5" s="37" t="s">
        <v>10</v>
      </c>
      <c r="L5" s="37" t="s">
        <v>11</v>
      </c>
    </row>
    <row r="6" spans="1:12" x14ac:dyDescent="0.25">
      <c r="A6" s="38">
        <v>46125</v>
      </c>
      <c r="B6" s="39">
        <f t="shared" ref="B6:B37" si="0">A6</f>
        <v>46125</v>
      </c>
      <c r="C6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W01 (11/4 - 17/4)</v>
      </c>
      <c r="D6" s="40">
        <v>0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</row>
    <row r="7" spans="1:12" x14ac:dyDescent="0.25">
      <c r="A7" s="38">
        <v>46126</v>
      </c>
      <c r="B7" s="39">
        <f t="shared" si="0"/>
        <v>46126</v>
      </c>
      <c r="C7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W01 (11/4 - 17/4)</v>
      </c>
      <c r="D7" s="40">
        <v>0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</row>
    <row r="8" spans="1:12" x14ac:dyDescent="0.25">
      <c r="A8" s="38">
        <v>46127</v>
      </c>
      <c r="B8" s="39">
        <f t="shared" si="0"/>
        <v>46127</v>
      </c>
      <c r="C8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W01 (11/4 - 17/4)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</row>
    <row r="9" spans="1:12" x14ac:dyDescent="0.25">
      <c r="A9" s="38">
        <v>46128</v>
      </c>
      <c r="B9" s="39">
        <f t="shared" si="0"/>
        <v>46128</v>
      </c>
      <c r="C9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W01 (11/4 - 17/4)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</row>
    <row r="10" spans="1:12" x14ac:dyDescent="0.25">
      <c r="A10" s="38">
        <v>46129</v>
      </c>
      <c r="B10" s="39">
        <f t="shared" si="0"/>
        <v>46129</v>
      </c>
      <c r="C10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W01 (11/4 - 17/4)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</row>
    <row r="11" spans="1:12" x14ac:dyDescent="0.25">
      <c r="A11" s="38">
        <v>46130</v>
      </c>
      <c r="B11" s="39">
        <f t="shared" si="0"/>
        <v>46130</v>
      </c>
      <c r="C11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W02 (18/4 - 24/4)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</row>
    <row r="12" spans="1:12" x14ac:dyDescent="0.25">
      <c r="A12" s="38">
        <v>46131</v>
      </c>
      <c r="B12" s="39">
        <f t="shared" si="0"/>
        <v>46131</v>
      </c>
      <c r="C12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W02 (18/4 - 24/4)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</row>
    <row r="13" spans="1:12" x14ac:dyDescent="0.25">
      <c r="A13" s="38">
        <v>46132</v>
      </c>
      <c r="B13" s="39">
        <f t="shared" si="0"/>
        <v>46132</v>
      </c>
      <c r="C13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W02 (18/4 - 24/4)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</row>
    <row r="14" spans="1:12" x14ac:dyDescent="0.25">
      <c r="A14" s="38">
        <v>46133</v>
      </c>
      <c r="B14" s="39">
        <f t="shared" si="0"/>
        <v>46133</v>
      </c>
      <c r="C14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W02 (18/4 - 24/4)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</row>
    <row r="15" spans="1:12" x14ac:dyDescent="0.25">
      <c r="A15" s="38">
        <v>46134</v>
      </c>
      <c r="B15" s="39">
        <f t="shared" si="0"/>
        <v>46134</v>
      </c>
      <c r="C15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W02 (18/4 - 24/4)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</row>
    <row r="16" spans="1:12" x14ac:dyDescent="0.25">
      <c r="A16" s="38">
        <v>46135</v>
      </c>
      <c r="B16" s="39">
        <f t="shared" si="0"/>
        <v>46135</v>
      </c>
      <c r="C16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W02 (18/4 - 24/4)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</row>
    <row r="17" spans="1:12" x14ac:dyDescent="0.25">
      <c r="A17" s="38">
        <v>46136</v>
      </c>
      <c r="B17" s="39">
        <f t="shared" si="0"/>
        <v>46136</v>
      </c>
      <c r="C17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W02 (18/4 - 24/4)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</row>
    <row r="18" spans="1:12" x14ac:dyDescent="0.25">
      <c r="A18" s="38">
        <v>46137</v>
      </c>
      <c r="B18" s="39">
        <f t="shared" si="0"/>
        <v>46137</v>
      </c>
      <c r="C18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W03 (25/4 - 1/5)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</row>
    <row r="19" spans="1:12" x14ac:dyDescent="0.25">
      <c r="A19" s="38">
        <v>46138</v>
      </c>
      <c r="B19" s="39">
        <f t="shared" si="0"/>
        <v>46138</v>
      </c>
      <c r="C19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W03 (25/4 - 1/5)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</row>
    <row r="20" spans="1:12" x14ac:dyDescent="0.25">
      <c r="A20" s="38">
        <v>46139</v>
      </c>
      <c r="B20" s="39">
        <f t="shared" si="0"/>
        <v>46139</v>
      </c>
      <c r="C20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W03 (25/4 - 1/5)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</row>
    <row r="21" spans="1:12" x14ac:dyDescent="0.25">
      <c r="A21" s="38">
        <v>46140</v>
      </c>
      <c r="B21" s="39">
        <f t="shared" si="0"/>
        <v>46140</v>
      </c>
      <c r="C21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W03 (25/4 - 1/5)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</row>
    <row r="22" spans="1:12" x14ac:dyDescent="0.25">
      <c r="A22" s="38">
        <v>46141</v>
      </c>
      <c r="B22" s="39">
        <f t="shared" si="0"/>
        <v>46141</v>
      </c>
      <c r="C22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W03 (25/4 - 1/5)</v>
      </c>
      <c r="D22" s="40">
        <v>0</v>
      </c>
      <c r="E22" s="40">
        <v>0</v>
      </c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</row>
    <row r="23" spans="1:12" x14ac:dyDescent="0.25">
      <c r="A23" s="38">
        <v>46142</v>
      </c>
      <c r="B23" s="39">
        <f t="shared" si="0"/>
        <v>46142</v>
      </c>
      <c r="C23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W03 (25/4 - 1/5)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</row>
    <row r="24" spans="1:12" x14ac:dyDescent="0.25">
      <c r="A24" s="38">
        <v>46143</v>
      </c>
      <c r="B24" s="39">
        <f t="shared" si="0"/>
        <v>46143</v>
      </c>
      <c r="C24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W03 (25/4 - 1/5)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</row>
    <row r="25" spans="1:12" x14ac:dyDescent="0.25">
      <c r="A25" s="38">
        <v>46144</v>
      </c>
      <c r="B25" s="39">
        <f t="shared" si="0"/>
        <v>46144</v>
      </c>
      <c r="C25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W04 (2/5 - 8/5)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</row>
    <row r="26" spans="1:12" x14ac:dyDescent="0.25">
      <c r="A26" s="38">
        <v>46145</v>
      </c>
      <c r="B26" s="39">
        <f t="shared" si="0"/>
        <v>46145</v>
      </c>
      <c r="C26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W04 (2/5 - 8/5)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</row>
    <row r="27" spans="1:12" x14ac:dyDescent="0.25">
      <c r="A27" s="38">
        <v>46146</v>
      </c>
      <c r="B27" s="39">
        <f t="shared" si="0"/>
        <v>46146</v>
      </c>
      <c r="C27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W04 (2/5 - 8/5)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</row>
    <row r="28" spans="1:12" x14ac:dyDescent="0.25">
      <c r="A28" s="38">
        <v>46147</v>
      </c>
      <c r="B28" s="39">
        <f t="shared" si="0"/>
        <v>46147</v>
      </c>
      <c r="C28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W04 (2/5 - 8/5)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</row>
    <row r="29" spans="1:12" x14ac:dyDescent="0.25">
      <c r="A29" s="38">
        <v>46148</v>
      </c>
      <c r="B29" s="39">
        <f t="shared" si="0"/>
        <v>46148</v>
      </c>
      <c r="C29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W04 (2/5 - 8/5)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</row>
    <row r="30" spans="1:12" x14ac:dyDescent="0.25">
      <c r="A30" s="38">
        <v>46149</v>
      </c>
      <c r="B30" s="39">
        <f t="shared" si="0"/>
        <v>46149</v>
      </c>
      <c r="C30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W04 (2/5 - 8/5)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</row>
    <row r="31" spans="1:12" x14ac:dyDescent="0.25">
      <c r="A31" s="38">
        <v>46150</v>
      </c>
      <c r="B31" s="39">
        <f t="shared" si="0"/>
        <v>46150</v>
      </c>
      <c r="C31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W04 (2/5 - 8/5)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</row>
    <row r="32" spans="1:12" x14ac:dyDescent="0.25">
      <c r="A32" s="38">
        <v>46151</v>
      </c>
      <c r="B32" s="39">
        <f t="shared" si="0"/>
        <v>46151</v>
      </c>
      <c r="C32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W05 (9/5 - 15/5)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</row>
    <row r="33" spans="1:12" x14ac:dyDescent="0.25">
      <c r="A33" s="38">
        <v>46152</v>
      </c>
      <c r="B33" s="39">
        <f t="shared" si="0"/>
        <v>46152</v>
      </c>
      <c r="C33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W05 (9/5 - 15/5)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</row>
    <row r="34" spans="1:12" x14ac:dyDescent="0.25">
      <c r="A34" s="38">
        <v>46153</v>
      </c>
      <c r="B34" s="39">
        <f t="shared" si="0"/>
        <v>46153</v>
      </c>
      <c r="C34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W05 (9/5 - 15/5)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</row>
    <row r="35" spans="1:12" x14ac:dyDescent="0.25">
      <c r="A35" s="38">
        <v>46154</v>
      </c>
      <c r="B35" s="39">
        <f t="shared" si="0"/>
        <v>46154</v>
      </c>
      <c r="C35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W05 (9/5 - 15/5)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</row>
    <row r="36" spans="1:12" x14ac:dyDescent="0.25">
      <c r="A36" s="38">
        <v>46155</v>
      </c>
      <c r="B36" s="39">
        <f t="shared" si="0"/>
        <v>46155</v>
      </c>
      <c r="C36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W05 (9/5 - 15/5)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</row>
    <row r="37" spans="1:12" x14ac:dyDescent="0.25">
      <c r="A37" s="38">
        <v>46156</v>
      </c>
      <c r="B37" s="39">
        <f t="shared" si="0"/>
        <v>46156</v>
      </c>
      <c r="C37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W05 (9/5 - 15/5)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</row>
    <row r="38" spans="1:12" x14ac:dyDescent="0.25">
      <c r="A38" s="38">
        <v>46157</v>
      </c>
      <c r="B38" s="39">
        <f t="shared" ref="B38:B69" si="1">A38</f>
        <v>46157</v>
      </c>
      <c r="C38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W05 (9/5 - 15/5)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</row>
    <row r="39" spans="1:12" x14ac:dyDescent="0.25">
      <c r="A39" s="38">
        <v>46158</v>
      </c>
      <c r="B39" s="39">
        <f t="shared" si="1"/>
        <v>46158</v>
      </c>
      <c r="C39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W06 (16/5 - 22/5)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</row>
    <row r="40" spans="1:12" x14ac:dyDescent="0.25">
      <c r="A40" s="38">
        <v>46159</v>
      </c>
      <c r="B40" s="39">
        <f t="shared" si="1"/>
        <v>46159</v>
      </c>
      <c r="C40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W06 (16/5 - 22/5)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</row>
    <row r="41" spans="1:12" x14ac:dyDescent="0.25">
      <c r="A41" s="38">
        <v>46160</v>
      </c>
      <c r="B41" s="39">
        <f t="shared" si="1"/>
        <v>46160</v>
      </c>
      <c r="C41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W06 (16/5 - 22/5)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</row>
    <row r="42" spans="1:12" x14ac:dyDescent="0.25">
      <c r="A42" s="38">
        <v>46161</v>
      </c>
      <c r="B42" s="39">
        <f t="shared" si="1"/>
        <v>46161</v>
      </c>
      <c r="C42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W06 (16/5 - 22/5)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</row>
    <row r="43" spans="1:12" x14ac:dyDescent="0.25">
      <c r="A43" s="38">
        <v>46162</v>
      </c>
      <c r="B43" s="39">
        <f t="shared" si="1"/>
        <v>46162</v>
      </c>
      <c r="C43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W06 (16/5 - 22/5)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  <c r="L43" s="40">
        <v>0</v>
      </c>
    </row>
    <row r="44" spans="1:12" x14ac:dyDescent="0.25">
      <c r="A44" s="38">
        <v>46163</v>
      </c>
      <c r="B44" s="39">
        <f t="shared" si="1"/>
        <v>46163</v>
      </c>
      <c r="C44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W06 (16/5 - 22/5)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</row>
    <row r="45" spans="1:12" x14ac:dyDescent="0.25">
      <c r="A45" s="38">
        <v>46164</v>
      </c>
      <c r="B45" s="39">
        <f t="shared" si="1"/>
        <v>46164</v>
      </c>
      <c r="C45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W06 (16/5 - 22/5)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</row>
    <row r="46" spans="1:12" x14ac:dyDescent="0.25">
      <c r="A46" s="38">
        <v>46165</v>
      </c>
      <c r="B46" s="39">
        <f t="shared" si="1"/>
        <v>46165</v>
      </c>
      <c r="C46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W07 (23/5 - 29/5)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</row>
    <row r="47" spans="1:12" x14ac:dyDescent="0.25">
      <c r="A47" s="38">
        <v>46166</v>
      </c>
      <c r="B47" s="39">
        <f t="shared" si="1"/>
        <v>46166</v>
      </c>
      <c r="C47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W07 (23/5 - 29/5)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</row>
    <row r="48" spans="1:12" x14ac:dyDescent="0.25">
      <c r="A48" s="38">
        <v>46167</v>
      </c>
      <c r="B48" s="39">
        <f t="shared" si="1"/>
        <v>46167</v>
      </c>
      <c r="C48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W07 (23/5 - 29/5)</v>
      </c>
      <c r="D48" s="40">
        <v>11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</row>
    <row r="49" spans="1:12" x14ac:dyDescent="0.25">
      <c r="A49" s="38">
        <v>46168</v>
      </c>
      <c r="B49" s="39">
        <f t="shared" si="1"/>
        <v>46168</v>
      </c>
      <c r="C49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W07 (23/5 - 29/5)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</row>
    <row r="50" spans="1:12" x14ac:dyDescent="0.25">
      <c r="A50" s="38">
        <v>46169</v>
      </c>
      <c r="B50" s="39">
        <f t="shared" si="1"/>
        <v>46169</v>
      </c>
      <c r="C50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W07 (23/5 - 29/5)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</row>
    <row r="51" spans="1:12" x14ac:dyDescent="0.25">
      <c r="A51" s="38">
        <v>46170</v>
      </c>
      <c r="B51" s="39">
        <f t="shared" si="1"/>
        <v>46170</v>
      </c>
      <c r="C51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W07 (23/5 - 29/5)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</row>
    <row r="52" spans="1:12" x14ac:dyDescent="0.25">
      <c r="A52" s="38">
        <v>46171</v>
      </c>
      <c r="B52" s="39">
        <f t="shared" si="1"/>
        <v>46171</v>
      </c>
      <c r="C52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W07 (23/5 - 29/5)</v>
      </c>
      <c r="D52" s="40">
        <v>5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</row>
    <row r="53" spans="1:12" x14ac:dyDescent="0.25">
      <c r="A53" s="38">
        <v>46172</v>
      </c>
      <c r="B53" s="39">
        <f t="shared" si="1"/>
        <v>46172</v>
      </c>
      <c r="C53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W08 (30/5 - 5/6)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</row>
    <row r="54" spans="1:12" x14ac:dyDescent="0.25">
      <c r="A54" s="38">
        <v>46173</v>
      </c>
      <c r="B54" s="39">
        <f t="shared" si="1"/>
        <v>46173</v>
      </c>
      <c r="C54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W08 (30/5 - 5/6)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</row>
    <row r="55" spans="1:12" x14ac:dyDescent="0.25">
      <c r="A55" s="38">
        <v>46174</v>
      </c>
      <c r="B55" s="39">
        <f t="shared" si="1"/>
        <v>46174</v>
      </c>
      <c r="C55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W08 (30/5 - 5/6)</v>
      </c>
      <c r="D55" s="40">
        <v>0</v>
      </c>
      <c r="E55" s="40">
        <v>0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</row>
    <row r="56" spans="1:12" x14ac:dyDescent="0.25">
      <c r="A56" s="38">
        <v>46175</v>
      </c>
      <c r="B56" s="39">
        <f t="shared" si="1"/>
        <v>46175</v>
      </c>
      <c r="C56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W08 (30/5 - 5/6)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</row>
    <row r="57" spans="1:12" x14ac:dyDescent="0.25">
      <c r="A57" s="38">
        <v>46176</v>
      </c>
      <c r="B57" s="39">
        <f t="shared" si="1"/>
        <v>46176</v>
      </c>
      <c r="C57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W08 (30/5 - 5/6)</v>
      </c>
      <c r="D57" s="40">
        <v>0</v>
      </c>
      <c r="E57" s="40">
        <v>0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</row>
    <row r="58" spans="1:12" x14ac:dyDescent="0.25">
      <c r="A58" s="38">
        <v>46177</v>
      </c>
      <c r="B58" s="39">
        <f t="shared" si="1"/>
        <v>46177</v>
      </c>
      <c r="C58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W08 (30/5 - 5/6)</v>
      </c>
      <c r="D58" s="40">
        <v>0</v>
      </c>
      <c r="E58" s="40">
        <v>0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</row>
    <row r="59" spans="1:12" x14ac:dyDescent="0.25">
      <c r="A59" s="38">
        <v>46178</v>
      </c>
      <c r="B59" s="39">
        <f t="shared" si="1"/>
        <v>46178</v>
      </c>
      <c r="C59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W08 (30/5 - 5/6)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</row>
    <row r="60" spans="1:12" x14ac:dyDescent="0.25">
      <c r="A60" s="38">
        <v>46179</v>
      </c>
      <c r="B60" s="39">
        <f t="shared" si="1"/>
        <v>46179</v>
      </c>
      <c r="C60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W09 (6/6 - 12/6)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</row>
    <row r="61" spans="1:12" x14ac:dyDescent="0.25">
      <c r="A61" s="38">
        <v>46180</v>
      </c>
      <c r="B61" s="39">
        <f t="shared" si="1"/>
        <v>46180</v>
      </c>
      <c r="C61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W09 (6/6 - 12/6)</v>
      </c>
      <c r="D61" s="40">
        <v>0</v>
      </c>
      <c r="E61" s="40">
        <v>0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</row>
    <row r="62" spans="1:12" x14ac:dyDescent="0.25">
      <c r="A62" s="38">
        <v>46181</v>
      </c>
      <c r="B62" s="39">
        <f t="shared" si="1"/>
        <v>46181</v>
      </c>
      <c r="C62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W09 (6/6 - 12/6)</v>
      </c>
      <c r="D62" s="40">
        <v>20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</row>
    <row r="63" spans="1:12" x14ac:dyDescent="0.25">
      <c r="A63" s="38">
        <v>46182</v>
      </c>
      <c r="B63" s="39">
        <f t="shared" si="1"/>
        <v>46182</v>
      </c>
      <c r="C63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W09 (6/6 - 12/6)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</row>
    <row r="64" spans="1:12" x14ac:dyDescent="0.25">
      <c r="A64" s="38">
        <v>46183</v>
      </c>
      <c r="B64" s="39">
        <f t="shared" si="1"/>
        <v>46183</v>
      </c>
      <c r="C64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W09 (6/6 - 12/6)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</row>
    <row r="65" spans="1:12" x14ac:dyDescent="0.25">
      <c r="A65" s="38">
        <v>46184</v>
      </c>
      <c r="B65" s="39">
        <f t="shared" si="1"/>
        <v>46184</v>
      </c>
      <c r="C65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W09 (6/6 - 12/6)</v>
      </c>
      <c r="D65" s="40">
        <v>0</v>
      </c>
      <c r="E65" s="40">
        <v>1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</row>
    <row r="66" spans="1:12" x14ac:dyDescent="0.25">
      <c r="A66" s="38">
        <v>46185</v>
      </c>
      <c r="B66" s="39">
        <f t="shared" si="1"/>
        <v>46185</v>
      </c>
      <c r="C66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W09 (6/6 - 12/6)</v>
      </c>
      <c r="D66" s="40">
        <v>1</v>
      </c>
      <c r="E66" s="40">
        <v>1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</row>
    <row r="67" spans="1:12" x14ac:dyDescent="0.25">
      <c r="A67" s="38">
        <v>46186</v>
      </c>
      <c r="B67" s="39">
        <f t="shared" si="1"/>
        <v>46186</v>
      </c>
      <c r="C67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W10 (13/6 - 19/6)</v>
      </c>
      <c r="D67" s="40">
        <v>0</v>
      </c>
      <c r="E67" s="40">
        <v>1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</row>
    <row r="68" spans="1:12" x14ac:dyDescent="0.25">
      <c r="A68" s="38">
        <v>46187</v>
      </c>
      <c r="B68" s="39">
        <f t="shared" si="1"/>
        <v>46187</v>
      </c>
      <c r="C68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W10 (13/6 - 19/6)</v>
      </c>
      <c r="D68" s="40">
        <v>0</v>
      </c>
      <c r="E68" s="40">
        <v>1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</row>
    <row r="69" spans="1:12" x14ac:dyDescent="0.25">
      <c r="A69" s="38">
        <v>46188</v>
      </c>
      <c r="B69" s="39">
        <f t="shared" si="1"/>
        <v>46188</v>
      </c>
      <c r="C69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W10 (13/6 - 19/6)</v>
      </c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</row>
    <row r="70" spans="1:12" x14ac:dyDescent="0.25">
      <c r="A70" s="38">
        <v>46189</v>
      </c>
      <c r="B70" s="39">
        <f t="shared" ref="B70:B101" si="2">A70</f>
        <v>46189</v>
      </c>
      <c r="C70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W10 (13/6 - 19/6)</v>
      </c>
      <c r="D70" s="40">
        <v>0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</row>
    <row r="71" spans="1:12" x14ac:dyDescent="0.25">
      <c r="A71" s="38">
        <v>46190</v>
      </c>
      <c r="B71" s="39">
        <f t="shared" si="2"/>
        <v>46190</v>
      </c>
      <c r="C71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W10 (13/6 - 19/6)</v>
      </c>
      <c r="D71" s="40">
        <v>0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</row>
    <row r="72" spans="1:12" x14ac:dyDescent="0.25">
      <c r="A72" s="38">
        <v>46191</v>
      </c>
      <c r="B72" s="39">
        <f t="shared" si="2"/>
        <v>46191</v>
      </c>
      <c r="C72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W10 (13/6 - 19/6)</v>
      </c>
      <c r="D72" s="40">
        <v>0</v>
      </c>
      <c r="E72" s="40">
        <v>0</v>
      </c>
      <c r="F72" s="40">
        <v>0</v>
      </c>
      <c r="G72" s="40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</row>
    <row r="73" spans="1:12" x14ac:dyDescent="0.25">
      <c r="A73" s="38">
        <v>46192</v>
      </c>
      <c r="B73" s="39">
        <f t="shared" si="2"/>
        <v>46192</v>
      </c>
      <c r="C73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W10 (13/6 - 19/6)</v>
      </c>
      <c r="D73" s="40">
        <v>0</v>
      </c>
      <c r="E73" s="40">
        <v>0</v>
      </c>
      <c r="F73" s="40">
        <v>0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</row>
    <row r="74" spans="1:12" x14ac:dyDescent="0.25">
      <c r="A74" s="38">
        <v>46193</v>
      </c>
      <c r="B74" s="39">
        <f t="shared" si="2"/>
        <v>46193</v>
      </c>
      <c r="C74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W11 (20/6 - 26/6)</v>
      </c>
      <c r="D74" s="40">
        <v>2</v>
      </c>
      <c r="E74" s="40">
        <v>0</v>
      </c>
      <c r="F74" s="40">
        <v>0</v>
      </c>
      <c r="G74" s="40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</row>
    <row r="75" spans="1:12" x14ac:dyDescent="0.25">
      <c r="A75" s="38">
        <v>46194</v>
      </c>
      <c r="B75" s="39">
        <f t="shared" si="2"/>
        <v>46194</v>
      </c>
      <c r="C75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W11 (20/6 - 26/6)</v>
      </c>
      <c r="D75" s="40">
        <v>0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</row>
    <row r="76" spans="1:12" x14ac:dyDescent="0.25">
      <c r="A76" s="38">
        <v>46195</v>
      </c>
      <c r="B76" s="39">
        <f t="shared" si="2"/>
        <v>46195</v>
      </c>
      <c r="C76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W11 (20/6 - 26/6)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</row>
    <row r="77" spans="1:12" x14ac:dyDescent="0.25">
      <c r="A77" s="38">
        <v>46196</v>
      </c>
      <c r="B77" s="39">
        <f t="shared" si="2"/>
        <v>46196</v>
      </c>
      <c r="C77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W11 (20/6 - 26/6)</v>
      </c>
      <c r="D77" s="40">
        <v>0</v>
      </c>
      <c r="E77" s="40">
        <v>0</v>
      </c>
      <c r="F77" s="40">
        <v>0</v>
      </c>
      <c r="G77" s="40">
        <v>0</v>
      </c>
      <c r="H77" s="40">
        <v>0</v>
      </c>
      <c r="I77" s="40">
        <v>0</v>
      </c>
      <c r="J77" s="40">
        <v>0</v>
      </c>
      <c r="K77" s="40">
        <v>0</v>
      </c>
      <c r="L77" s="40">
        <v>0</v>
      </c>
    </row>
    <row r="78" spans="1:12" x14ac:dyDescent="0.25">
      <c r="A78" s="38">
        <v>46197</v>
      </c>
      <c r="B78" s="39">
        <f t="shared" si="2"/>
        <v>46197</v>
      </c>
      <c r="C78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W11 (20/6 - 26/6)</v>
      </c>
      <c r="D78" s="40">
        <v>0</v>
      </c>
      <c r="E78" s="40">
        <v>0</v>
      </c>
      <c r="F78" s="40">
        <v>0</v>
      </c>
      <c r="G78" s="40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</row>
    <row r="79" spans="1:12" x14ac:dyDescent="0.25">
      <c r="A79" s="38">
        <v>46198</v>
      </c>
      <c r="B79" s="39">
        <f t="shared" si="2"/>
        <v>46198</v>
      </c>
      <c r="C79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W11 (20/6 - 26/6)</v>
      </c>
      <c r="D79" s="40">
        <v>0</v>
      </c>
      <c r="E79" s="40">
        <v>0</v>
      </c>
      <c r="F79" s="40">
        <v>0</v>
      </c>
      <c r="G79" s="40">
        <v>0</v>
      </c>
      <c r="H79" s="40">
        <v>0</v>
      </c>
      <c r="I79" s="40">
        <v>0</v>
      </c>
      <c r="J79" s="40">
        <v>0</v>
      </c>
      <c r="K79" s="40">
        <v>0</v>
      </c>
      <c r="L79" s="40">
        <v>0</v>
      </c>
    </row>
    <row r="80" spans="1:12" x14ac:dyDescent="0.25">
      <c r="A80" s="38">
        <v>46199</v>
      </c>
      <c r="B80" s="39">
        <f t="shared" si="2"/>
        <v>46199</v>
      </c>
      <c r="C80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W11 (20/6 - 26/6)</v>
      </c>
      <c r="D80" s="40">
        <v>12</v>
      </c>
      <c r="E80" s="40">
        <v>0</v>
      </c>
      <c r="F80" s="40">
        <v>0</v>
      </c>
      <c r="G80" s="40">
        <v>0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</row>
    <row r="81" spans="1:12" x14ac:dyDescent="0.25">
      <c r="A81" s="38">
        <v>46200</v>
      </c>
      <c r="B81" s="39">
        <f t="shared" si="2"/>
        <v>46200</v>
      </c>
      <c r="C81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W12 (27/6 - 3/7)</v>
      </c>
      <c r="D81" s="40">
        <v>0</v>
      </c>
      <c r="E81" s="40">
        <v>0</v>
      </c>
      <c r="F81" s="40">
        <v>0</v>
      </c>
      <c r="G81" s="40">
        <v>0</v>
      </c>
      <c r="H81" s="40">
        <v>0</v>
      </c>
      <c r="I81" s="40">
        <v>0</v>
      </c>
      <c r="J81" s="40">
        <v>0</v>
      </c>
      <c r="K81" s="40">
        <v>0</v>
      </c>
      <c r="L81" s="40">
        <v>0</v>
      </c>
    </row>
    <row r="82" spans="1:12" x14ac:dyDescent="0.25">
      <c r="A82" s="38">
        <v>46201</v>
      </c>
      <c r="B82" s="39">
        <f t="shared" si="2"/>
        <v>46201</v>
      </c>
      <c r="C82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W12 (27/6 - 3/7)</v>
      </c>
      <c r="D82" s="40">
        <v>0</v>
      </c>
      <c r="E82" s="40">
        <v>0</v>
      </c>
      <c r="F82" s="40">
        <v>0</v>
      </c>
      <c r="G82" s="40">
        <v>0</v>
      </c>
      <c r="H82" s="40">
        <v>0</v>
      </c>
      <c r="I82" s="40">
        <v>0</v>
      </c>
      <c r="J82" s="40">
        <v>0</v>
      </c>
      <c r="K82" s="40">
        <v>0</v>
      </c>
      <c r="L82" s="40">
        <v>0</v>
      </c>
    </row>
    <row r="83" spans="1:12" x14ac:dyDescent="0.25">
      <c r="A83" s="38">
        <v>46202</v>
      </c>
      <c r="B83" s="39">
        <f t="shared" si="2"/>
        <v>46202</v>
      </c>
      <c r="C83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W12 (27/6 - 3/7)</v>
      </c>
      <c r="D83" s="40">
        <v>0</v>
      </c>
      <c r="E83" s="40">
        <v>0</v>
      </c>
      <c r="F83" s="40">
        <v>0</v>
      </c>
      <c r="G83" s="40">
        <v>0</v>
      </c>
      <c r="H83" s="40">
        <v>0</v>
      </c>
      <c r="I83" s="40">
        <v>0</v>
      </c>
      <c r="J83" s="40">
        <v>0</v>
      </c>
      <c r="K83" s="40">
        <v>0</v>
      </c>
      <c r="L83" s="40">
        <v>0</v>
      </c>
    </row>
    <row r="84" spans="1:12" x14ac:dyDescent="0.25">
      <c r="A84" s="38">
        <v>46203</v>
      </c>
      <c r="B84" s="39">
        <f t="shared" si="2"/>
        <v>46203</v>
      </c>
      <c r="C84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W12 (27/6 - 3/7)</v>
      </c>
      <c r="D84" s="40">
        <v>0</v>
      </c>
      <c r="E84" s="40">
        <v>0</v>
      </c>
      <c r="F84" s="40">
        <v>0</v>
      </c>
      <c r="G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</row>
    <row r="85" spans="1:12" x14ac:dyDescent="0.25">
      <c r="A85" s="38">
        <v>46204</v>
      </c>
      <c r="B85" s="39">
        <f t="shared" si="2"/>
        <v>46204</v>
      </c>
      <c r="C85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W12 (27/6 - 3/7)</v>
      </c>
      <c r="D85" s="40">
        <v>3</v>
      </c>
      <c r="E85" s="40">
        <v>0</v>
      </c>
      <c r="F85" s="40">
        <v>0</v>
      </c>
      <c r="G85" s="40">
        <v>0</v>
      </c>
      <c r="H85" s="40">
        <v>0</v>
      </c>
      <c r="I85" s="40">
        <v>0</v>
      </c>
      <c r="J85" s="40">
        <v>0</v>
      </c>
      <c r="K85" s="40">
        <v>0</v>
      </c>
      <c r="L85" s="40">
        <v>0</v>
      </c>
    </row>
    <row r="86" spans="1:12" x14ac:dyDescent="0.25">
      <c r="A86" s="38">
        <v>46205</v>
      </c>
      <c r="B86" s="39">
        <f t="shared" si="2"/>
        <v>46205</v>
      </c>
      <c r="C86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W12 (27/6 - 3/7)</v>
      </c>
      <c r="D86" s="40">
        <v>2</v>
      </c>
      <c r="E86" s="40">
        <v>0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</row>
    <row r="87" spans="1:12" x14ac:dyDescent="0.25">
      <c r="A87" s="38">
        <v>46206</v>
      </c>
      <c r="B87" s="39">
        <f t="shared" si="2"/>
        <v>46206</v>
      </c>
      <c r="C87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W12 (27/6 - 3/7)</v>
      </c>
      <c r="D87" s="40">
        <v>4</v>
      </c>
      <c r="E87" s="40">
        <v>0</v>
      </c>
      <c r="F87" s="40">
        <v>0</v>
      </c>
      <c r="G87" s="40">
        <v>0</v>
      </c>
      <c r="H87" s="40">
        <v>0</v>
      </c>
      <c r="I87" s="40">
        <v>0</v>
      </c>
      <c r="J87" s="40">
        <v>0</v>
      </c>
      <c r="K87" s="40">
        <v>0</v>
      </c>
      <c r="L87" s="40">
        <v>0</v>
      </c>
    </row>
    <row r="88" spans="1:12" x14ac:dyDescent="0.25">
      <c r="A88" s="38">
        <v>46207</v>
      </c>
      <c r="B88" s="39">
        <f t="shared" si="2"/>
        <v>46207</v>
      </c>
      <c r="C88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W13 (4/7 - 10/7)</v>
      </c>
      <c r="D88" s="40">
        <v>0</v>
      </c>
      <c r="E88" s="40">
        <v>0</v>
      </c>
      <c r="F88" s="40">
        <v>0</v>
      </c>
      <c r="G88" s="40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</row>
    <row r="89" spans="1:12" x14ac:dyDescent="0.25">
      <c r="A89" s="38">
        <v>46208</v>
      </c>
      <c r="B89" s="39">
        <f t="shared" si="2"/>
        <v>46208</v>
      </c>
      <c r="C89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W13 (4/7 - 10/7)</v>
      </c>
      <c r="D89" s="40">
        <v>0</v>
      </c>
      <c r="E89" s="40">
        <v>0</v>
      </c>
      <c r="F89" s="40">
        <v>0</v>
      </c>
      <c r="G89" s="40">
        <v>0</v>
      </c>
      <c r="H89" s="40">
        <v>0</v>
      </c>
      <c r="I89" s="40">
        <v>0</v>
      </c>
      <c r="J89" s="40">
        <v>0</v>
      </c>
      <c r="K89" s="40">
        <v>0</v>
      </c>
      <c r="L89" s="40">
        <v>0</v>
      </c>
    </row>
    <row r="90" spans="1:12" x14ac:dyDescent="0.25">
      <c r="A90" s="38">
        <v>46209</v>
      </c>
      <c r="B90" s="39">
        <f t="shared" si="2"/>
        <v>46209</v>
      </c>
      <c r="C90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W13 (4/7 - 10/7)</v>
      </c>
      <c r="D90" s="40">
        <v>1</v>
      </c>
      <c r="E90" s="40">
        <v>0</v>
      </c>
      <c r="F90" s="40">
        <v>0</v>
      </c>
      <c r="G90" s="40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</row>
    <row r="91" spans="1:12" x14ac:dyDescent="0.25">
      <c r="A91" s="38">
        <v>46210</v>
      </c>
      <c r="B91" s="39">
        <f t="shared" si="2"/>
        <v>46210</v>
      </c>
      <c r="C91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W13 (4/7 - 10/7)</v>
      </c>
      <c r="D91" s="40">
        <v>0</v>
      </c>
      <c r="E91" s="40">
        <v>0</v>
      </c>
      <c r="F91" s="40">
        <v>0</v>
      </c>
      <c r="G91" s="40">
        <v>0</v>
      </c>
      <c r="H91" s="40">
        <v>0</v>
      </c>
      <c r="I91" s="40">
        <v>0</v>
      </c>
      <c r="J91" s="40">
        <v>0</v>
      </c>
      <c r="K91" s="40">
        <v>0</v>
      </c>
      <c r="L91" s="40">
        <v>0</v>
      </c>
    </row>
    <row r="92" spans="1:12" x14ac:dyDescent="0.25">
      <c r="A92" s="38">
        <v>46211</v>
      </c>
      <c r="B92" s="39">
        <f t="shared" si="2"/>
        <v>46211</v>
      </c>
      <c r="C92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W13 (4/7 - 10/7)</v>
      </c>
      <c r="D92" s="40">
        <v>5</v>
      </c>
      <c r="E92" s="40">
        <v>0</v>
      </c>
      <c r="F92" s="40">
        <v>0</v>
      </c>
      <c r="G92" s="40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</row>
    <row r="93" spans="1:12" x14ac:dyDescent="0.25">
      <c r="A93" s="38">
        <v>46212</v>
      </c>
      <c r="B93" s="39">
        <f t="shared" si="2"/>
        <v>46212</v>
      </c>
      <c r="C93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W13 (4/7 - 10/7)</v>
      </c>
      <c r="D93" s="40">
        <v>2</v>
      </c>
      <c r="E93" s="40">
        <v>0</v>
      </c>
      <c r="F93" s="40">
        <v>0</v>
      </c>
      <c r="G93" s="40">
        <v>0</v>
      </c>
      <c r="H93" s="40">
        <v>0</v>
      </c>
      <c r="I93" s="40">
        <v>0</v>
      </c>
      <c r="J93" s="40">
        <v>0</v>
      </c>
      <c r="K93" s="40">
        <v>0</v>
      </c>
      <c r="L93" s="40">
        <v>0</v>
      </c>
    </row>
    <row r="94" spans="1:12" x14ac:dyDescent="0.25">
      <c r="A94" s="38">
        <v>46213</v>
      </c>
      <c r="B94" s="39">
        <f t="shared" si="2"/>
        <v>46213</v>
      </c>
      <c r="C94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W13 (4/7 - 10/7)</v>
      </c>
      <c r="D94" s="40">
        <v>4</v>
      </c>
      <c r="E94" s="40">
        <v>0</v>
      </c>
      <c r="F94" s="40">
        <v>0</v>
      </c>
      <c r="G94" s="40">
        <v>0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</row>
    <row r="95" spans="1:12" x14ac:dyDescent="0.25">
      <c r="A95" s="38">
        <v>46214</v>
      </c>
      <c r="B95" s="39">
        <f t="shared" si="2"/>
        <v>46214</v>
      </c>
      <c r="C95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W14 (11/7 - 17/7)</v>
      </c>
      <c r="D95" s="40">
        <v>0</v>
      </c>
      <c r="E95" s="40">
        <v>0</v>
      </c>
      <c r="F95" s="40">
        <v>0</v>
      </c>
      <c r="G95" s="40">
        <v>0</v>
      </c>
      <c r="H95" s="40">
        <v>0</v>
      </c>
      <c r="I95" s="40">
        <v>0</v>
      </c>
      <c r="J95" s="40">
        <v>0</v>
      </c>
      <c r="K95" s="40">
        <v>0</v>
      </c>
      <c r="L95" s="40">
        <v>0</v>
      </c>
    </row>
    <row r="96" spans="1:12" x14ac:dyDescent="0.25">
      <c r="A96" s="38">
        <v>46215</v>
      </c>
      <c r="B96" s="39">
        <f t="shared" si="2"/>
        <v>46215</v>
      </c>
      <c r="C96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W14 (11/7 - 17/7)</v>
      </c>
      <c r="D96" s="40">
        <v>0</v>
      </c>
      <c r="E96" s="40">
        <v>0</v>
      </c>
      <c r="F96" s="40">
        <v>0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</row>
    <row r="97" spans="1:15" x14ac:dyDescent="0.25">
      <c r="A97" s="38">
        <v>46216</v>
      </c>
      <c r="B97" s="39">
        <f t="shared" si="2"/>
        <v>46216</v>
      </c>
      <c r="C97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W14 (11/7 - 17/7)</v>
      </c>
      <c r="D97" s="40">
        <v>0</v>
      </c>
      <c r="E97" s="40">
        <v>0</v>
      </c>
      <c r="F97" s="40">
        <v>0</v>
      </c>
      <c r="G97" s="40">
        <v>0</v>
      </c>
      <c r="H97" s="40">
        <v>0</v>
      </c>
      <c r="I97" s="40">
        <v>0</v>
      </c>
      <c r="J97" s="40">
        <v>0</v>
      </c>
      <c r="K97" s="40">
        <v>0</v>
      </c>
      <c r="L97" s="40">
        <v>0</v>
      </c>
    </row>
    <row r="98" spans="1:15" x14ac:dyDescent="0.25">
      <c r="A98" s="38">
        <v>46217</v>
      </c>
      <c r="B98" s="39">
        <f t="shared" si="2"/>
        <v>46217</v>
      </c>
      <c r="C98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W14 (11/7 - 17/7)</v>
      </c>
      <c r="D98" s="40">
        <v>0</v>
      </c>
      <c r="E98" s="40">
        <v>0</v>
      </c>
      <c r="F98" s="40">
        <v>0</v>
      </c>
      <c r="G98" s="40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</row>
    <row r="99" spans="1:15" x14ac:dyDescent="0.25">
      <c r="A99" s="38">
        <v>46218</v>
      </c>
      <c r="B99" s="39">
        <f t="shared" si="2"/>
        <v>46218</v>
      </c>
      <c r="C99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W14 (11/7 - 17/7)</v>
      </c>
      <c r="D99" s="40">
        <v>3</v>
      </c>
      <c r="E99" s="40">
        <v>0</v>
      </c>
      <c r="F99" s="40">
        <v>0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0</v>
      </c>
    </row>
    <row r="100" spans="1:15" x14ac:dyDescent="0.25">
      <c r="A100" s="38">
        <v>46219</v>
      </c>
      <c r="B100" s="39">
        <f t="shared" si="2"/>
        <v>46219</v>
      </c>
      <c r="C100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W14 (11/7 - 17/7)</v>
      </c>
      <c r="D100" s="40">
        <v>0</v>
      </c>
      <c r="E100" s="40">
        <v>0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</row>
    <row r="101" spans="1:15" x14ac:dyDescent="0.25">
      <c r="A101" s="38">
        <v>46220</v>
      </c>
      <c r="B101" s="39">
        <f t="shared" si="2"/>
        <v>46220</v>
      </c>
      <c r="C101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W14 (11/7 - 17/7)</v>
      </c>
      <c r="D101" s="40">
        <v>4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</row>
    <row r="102" spans="1:15" x14ac:dyDescent="0.25">
      <c r="A102" s="38">
        <v>46221</v>
      </c>
      <c r="B102" s="39">
        <f t="shared" ref="B102:B133" si="3">A102</f>
        <v>46221</v>
      </c>
      <c r="C102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W15 (18/7 - 24/7)</v>
      </c>
      <c r="D102" s="40">
        <v>0</v>
      </c>
      <c r="E102" s="40">
        <v>0</v>
      </c>
      <c r="F102" s="40">
        <v>0</v>
      </c>
      <c r="G102" s="40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</row>
    <row r="103" spans="1:15" x14ac:dyDescent="0.25">
      <c r="A103" s="38">
        <v>46222</v>
      </c>
      <c r="B103" s="39">
        <f t="shared" si="3"/>
        <v>46222</v>
      </c>
      <c r="C103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W15 (18/7 - 24/7)</v>
      </c>
      <c r="D103" s="40">
        <v>0</v>
      </c>
      <c r="E103" s="40">
        <v>0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0</v>
      </c>
      <c r="L103" s="40">
        <v>0</v>
      </c>
      <c r="O103" s="44"/>
    </row>
    <row r="104" spans="1:15" x14ac:dyDescent="0.25">
      <c r="A104" s="38">
        <v>46223</v>
      </c>
      <c r="B104" s="39">
        <f t="shared" si="3"/>
        <v>46223</v>
      </c>
      <c r="C104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W15 (18/7 - 24/7)</v>
      </c>
      <c r="D104" s="40">
        <v>5</v>
      </c>
      <c r="E104" s="40">
        <v>0</v>
      </c>
      <c r="F104" s="40">
        <v>0</v>
      </c>
      <c r="G104" s="40">
        <v>0</v>
      </c>
      <c r="H104" s="40">
        <v>0</v>
      </c>
      <c r="I104" s="40">
        <v>0</v>
      </c>
      <c r="J104" s="40">
        <v>0</v>
      </c>
      <c r="K104" s="40">
        <v>0</v>
      </c>
      <c r="L104" s="40">
        <v>0</v>
      </c>
      <c r="O104" s="44"/>
    </row>
    <row r="105" spans="1:15" x14ac:dyDescent="0.25">
      <c r="A105" s="38">
        <v>46224</v>
      </c>
      <c r="B105" s="39">
        <f t="shared" si="3"/>
        <v>46224</v>
      </c>
      <c r="C105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W15 (18/7 - 24/7)</v>
      </c>
      <c r="D105" s="40">
        <v>0</v>
      </c>
      <c r="E105" s="40">
        <v>0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O105" s="44"/>
    </row>
    <row r="106" spans="1:15" x14ac:dyDescent="0.25">
      <c r="A106" s="38">
        <v>46225</v>
      </c>
      <c r="B106" s="39">
        <f t="shared" si="3"/>
        <v>46225</v>
      </c>
      <c r="C106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W15 (18/7 - 24/7)</v>
      </c>
      <c r="D106" s="40">
        <v>0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O106" s="44"/>
    </row>
    <row r="107" spans="1:15" x14ac:dyDescent="0.25">
      <c r="A107" s="38">
        <v>46226</v>
      </c>
      <c r="B107" s="39">
        <f t="shared" si="3"/>
        <v>46226</v>
      </c>
      <c r="C107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W15 (18/7 - 24/7)</v>
      </c>
      <c r="D107" s="40">
        <v>0</v>
      </c>
      <c r="E107" s="40">
        <v>0</v>
      </c>
      <c r="F107" s="40">
        <v>0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O107" s="44"/>
    </row>
    <row r="108" spans="1:15" x14ac:dyDescent="0.25">
      <c r="A108" s="38">
        <v>46227</v>
      </c>
      <c r="B108" s="39">
        <f t="shared" si="3"/>
        <v>46227</v>
      </c>
      <c r="C108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W15 (18/7 - 24/7)</v>
      </c>
      <c r="D108" s="40">
        <v>1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O108" s="44"/>
    </row>
    <row r="109" spans="1:15" x14ac:dyDescent="0.25">
      <c r="A109" s="38">
        <v>46228</v>
      </c>
      <c r="B109" s="39">
        <f t="shared" si="3"/>
        <v>46228</v>
      </c>
      <c r="C109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W16 (25/7 - 31/7)</v>
      </c>
      <c r="D109" s="40">
        <v>0</v>
      </c>
      <c r="E109" s="40">
        <v>0</v>
      </c>
      <c r="F109" s="40">
        <v>0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O109" s="44"/>
    </row>
    <row r="110" spans="1:15" x14ac:dyDescent="0.25">
      <c r="A110" s="38">
        <v>46229</v>
      </c>
      <c r="B110" s="39">
        <f t="shared" si="3"/>
        <v>46229</v>
      </c>
      <c r="C110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W16 (25/7 - 31/7)</v>
      </c>
      <c r="D110" s="40">
        <v>0</v>
      </c>
      <c r="E110" s="40">
        <v>0</v>
      </c>
      <c r="F110" s="40">
        <v>0</v>
      </c>
      <c r="G110" s="40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O110" s="44"/>
    </row>
    <row r="111" spans="1:15" x14ac:dyDescent="0.25">
      <c r="A111" s="38">
        <v>46230</v>
      </c>
      <c r="B111" s="39">
        <f t="shared" si="3"/>
        <v>46230</v>
      </c>
      <c r="C111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W16 (25/7 - 31/7)</v>
      </c>
      <c r="D111" s="40">
        <v>6</v>
      </c>
      <c r="E111" s="40">
        <v>0</v>
      </c>
      <c r="F111" s="40">
        <v>0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O111" s="44"/>
    </row>
    <row r="112" spans="1:15" x14ac:dyDescent="0.25">
      <c r="A112" s="38">
        <v>46231</v>
      </c>
      <c r="B112" s="39">
        <f t="shared" si="3"/>
        <v>46231</v>
      </c>
      <c r="C112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W16 (25/7 - 31/7)</v>
      </c>
      <c r="D112" s="40">
        <v>0</v>
      </c>
      <c r="E112" s="40">
        <v>0</v>
      </c>
      <c r="F112" s="40">
        <v>0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O112" s="44"/>
    </row>
    <row r="113" spans="1:15" x14ac:dyDescent="0.25">
      <c r="A113" s="38">
        <v>46232</v>
      </c>
      <c r="B113" s="39">
        <f t="shared" si="3"/>
        <v>46232</v>
      </c>
      <c r="C113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W16 (25/7 - 31/7)</v>
      </c>
      <c r="D113" s="40">
        <v>2</v>
      </c>
      <c r="E113" s="40">
        <v>0</v>
      </c>
      <c r="F113" s="40">
        <v>0</v>
      </c>
      <c r="G113" s="40">
        <v>0</v>
      </c>
      <c r="H113" s="40">
        <v>0</v>
      </c>
      <c r="I113" s="40">
        <v>0</v>
      </c>
      <c r="J113" s="40">
        <v>0</v>
      </c>
      <c r="K113" s="40">
        <v>0</v>
      </c>
      <c r="L113" s="40">
        <v>0</v>
      </c>
      <c r="O113" s="44"/>
    </row>
    <row r="114" spans="1:15" x14ac:dyDescent="0.25">
      <c r="A114" s="38">
        <v>46233</v>
      </c>
      <c r="B114" s="39">
        <f t="shared" si="3"/>
        <v>46233</v>
      </c>
      <c r="C114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W16 (25/7 - 31/7)</v>
      </c>
      <c r="D114" s="40">
        <v>0</v>
      </c>
      <c r="E114" s="40">
        <v>0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0</v>
      </c>
      <c r="O114" s="44"/>
    </row>
    <row r="115" spans="1:15" x14ac:dyDescent="0.25">
      <c r="A115" s="41">
        <v>46234</v>
      </c>
      <c r="B115" s="42">
        <f t="shared" si="3"/>
        <v>46234</v>
      </c>
      <c r="C115" s="43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W16 (25/7 - 31/7)</v>
      </c>
      <c r="D115" s="40">
        <v>7</v>
      </c>
      <c r="E115" s="40">
        <v>0</v>
      </c>
      <c r="F115" s="40">
        <v>0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O115" s="44"/>
    </row>
    <row r="116" spans="1:15" x14ac:dyDescent="0.25">
      <c r="A116" s="38">
        <v>46235</v>
      </c>
      <c r="B116" s="39">
        <f t="shared" si="3"/>
        <v>46235</v>
      </c>
      <c r="C116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W17 (1/8 - 7/8)</v>
      </c>
      <c r="D116" s="40">
        <v>1</v>
      </c>
      <c r="E116" s="40">
        <v>0</v>
      </c>
      <c r="F116" s="40">
        <v>0</v>
      </c>
      <c r="G116" s="40">
        <v>0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O116" s="44"/>
    </row>
    <row r="117" spans="1:15" x14ac:dyDescent="0.25">
      <c r="A117" s="38">
        <v>46236</v>
      </c>
      <c r="B117" s="39">
        <f t="shared" si="3"/>
        <v>46236</v>
      </c>
      <c r="C117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W17 (1/8 - 7/8)</v>
      </c>
      <c r="D117" s="40">
        <v>0</v>
      </c>
      <c r="E117" s="40">
        <v>0</v>
      </c>
      <c r="F117" s="40">
        <v>0</v>
      </c>
      <c r="G117" s="40">
        <v>0</v>
      </c>
      <c r="H117" s="40">
        <v>0</v>
      </c>
      <c r="I117" s="40">
        <v>0</v>
      </c>
      <c r="J117" s="40">
        <v>0</v>
      </c>
      <c r="K117" s="40">
        <v>0</v>
      </c>
      <c r="L117" s="40">
        <v>0</v>
      </c>
      <c r="O117" s="44"/>
    </row>
    <row r="118" spans="1:15" x14ac:dyDescent="0.25">
      <c r="A118" s="38">
        <v>46237</v>
      </c>
      <c r="B118" s="42">
        <f t="shared" si="3"/>
        <v>46237</v>
      </c>
      <c r="C118" s="43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W17 (1/8 - 7/8)</v>
      </c>
      <c r="D118" s="40">
        <v>2</v>
      </c>
      <c r="E118" s="40">
        <v>0</v>
      </c>
      <c r="F118" s="40">
        <v>0</v>
      </c>
      <c r="G118" s="40">
        <v>0</v>
      </c>
      <c r="H118" s="40">
        <v>0</v>
      </c>
      <c r="I118" s="40">
        <v>0</v>
      </c>
      <c r="J118" s="40">
        <v>0</v>
      </c>
      <c r="K118" s="40">
        <v>0</v>
      </c>
      <c r="L118" s="40">
        <v>0</v>
      </c>
      <c r="O118" s="44"/>
    </row>
    <row r="119" spans="1:15" x14ac:dyDescent="0.25">
      <c r="A119" s="38">
        <v>46238</v>
      </c>
      <c r="B119" s="39">
        <f t="shared" si="3"/>
        <v>46238</v>
      </c>
      <c r="C119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W17 (1/8 - 7/8)</v>
      </c>
      <c r="D119" s="40">
        <v>0</v>
      </c>
      <c r="E119" s="40">
        <v>0</v>
      </c>
      <c r="F119" s="40">
        <v>0</v>
      </c>
      <c r="G119" s="40">
        <v>0</v>
      </c>
      <c r="H119" s="40">
        <v>0</v>
      </c>
      <c r="I119" s="40">
        <v>0</v>
      </c>
      <c r="J119" s="40">
        <v>0</v>
      </c>
      <c r="K119" s="40">
        <v>0</v>
      </c>
      <c r="L119" s="40">
        <v>0</v>
      </c>
      <c r="O119" s="44"/>
    </row>
    <row r="120" spans="1:15" x14ac:dyDescent="0.25">
      <c r="A120" s="38">
        <v>46239</v>
      </c>
      <c r="B120" s="39">
        <f t="shared" si="3"/>
        <v>46239</v>
      </c>
      <c r="C120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W17 (1/8 - 7/8)</v>
      </c>
      <c r="D120" s="40">
        <v>14</v>
      </c>
      <c r="E120" s="40">
        <v>31</v>
      </c>
      <c r="F120" s="40">
        <v>0</v>
      </c>
      <c r="G120" s="40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O120" s="44"/>
    </row>
    <row r="121" spans="1:15" x14ac:dyDescent="0.25">
      <c r="A121" s="41">
        <v>46240</v>
      </c>
      <c r="B121" s="39">
        <f t="shared" si="3"/>
        <v>46240</v>
      </c>
      <c r="C121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W17 (1/8 - 7/8)</v>
      </c>
      <c r="D121" s="40">
        <v>0</v>
      </c>
      <c r="E121" s="40">
        <v>0</v>
      </c>
      <c r="F121" s="40">
        <v>0</v>
      </c>
      <c r="G121" s="40">
        <v>0</v>
      </c>
      <c r="H121" s="40">
        <v>0</v>
      </c>
      <c r="I121" s="40">
        <v>0</v>
      </c>
      <c r="J121" s="40">
        <v>0</v>
      </c>
      <c r="K121" s="40">
        <v>0</v>
      </c>
      <c r="L121" s="40">
        <v>0</v>
      </c>
      <c r="O121" s="44"/>
    </row>
    <row r="122" spans="1:15" x14ac:dyDescent="0.25">
      <c r="A122" s="38">
        <v>46241</v>
      </c>
      <c r="B122" s="39">
        <f t="shared" si="3"/>
        <v>46241</v>
      </c>
      <c r="C122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W17 (1/8 - 7/8)</v>
      </c>
      <c r="D122" s="40">
        <v>0</v>
      </c>
      <c r="E122" s="40">
        <v>0</v>
      </c>
      <c r="F122" s="40">
        <v>0</v>
      </c>
      <c r="G122" s="40">
        <v>0</v>
      </c>
      <c r="H122" s="40">
        <v>0</v>
      </c>
      <c r="I122" s="40">
        <v>0</v>
      </c>
      <c r="J122" s="40">
        <v>0</v>
      </c>
      <c r="K122" s="40">
        <v>0</v>
      </c>
      <c r="L122" s="40">
        <v>0</v>
      </c>
      <c r="O122" s="44"/>
    </row>
    <row r="123" spans="1:15" x14ac:dyDescent="0.25">
      <c r="A123" s="38">
        <v>46242</v>
      </c>
      <c r="B123" s="39">
        <f t="shared" si="3"/>
        <v>46242</v>
      </c>
      <c r="C123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W18 (8/8 - 14/8)</v>
      </c>
      <c r="D123" s="40">
        <v>1</v>
      </c>
      <c r="E123" s="40">
        <v>0</v>
      </c>
      <c r="F123" s="40">
        <v>0</v>
      </c>
      <c r="G123" s="40">
        <v>0</v>
      </c>
      <c r="H123" s="40">
        <v>0</v>
      </c>
      <c r="I123" s="40">
        <v>0</v>
      </c>
      <c r="J123" s="40">
        <v>0</v>
      </c>
      <c r="K123" s="40">
        <v>0</v>
      </c>
      <c r="L123" s="40">
        <v>0</v>
      </c>
    </row>
    <row r="124" spans="1:15" x14ac:dyDescent="0.25">
      <c r="A124" s="38">
        <v>46243</v>
      </c>
      <c r="B124" s="42">
        <f t="shared" si="3"/>
        <v>46243</v>
      </c>
      <c r="C124" s="43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W18 (8/8 - 14/8)</v>
      </c>
      <c r="D124" s="40">
        <v>0</v>
      </c>
      <c r="E124" s="40">
        <v>0</v>
      </c>
      <c r="F124" s="40">
        <v>0</v>
      </c>
      <c r="G124" s="40">
        <v>0</v>
      </c>
      <c r="H124" s="40">
        <v>0</v>
      </c>
      <c r="I124" s="40">
        <v>0</v>
      </c>
      <c r="J124" s="40">
        <v>0</v>
      </c>
      <c r="K124" s="40">
        <v>0</v>
      </c>
      <c r="L124" s="40">
        <v>0</v>
      </c>
    </row>
    <row r="125" spans="1:15" x14ac:dyDescent="0.25">
      <c r="A125" s="38">
        <v>46244</v>
      </c>
      <c r="B125" s="39">
        <f t="shared" si="3"/>
        <v>46244</v>
      </c>
      <c r="C125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W18 (8/8 - 14/8)</v>
      </c>
      <c r="D125" s="40">
        <v>4</v>
      </c>
      <c r="E125" s="40">
        <v>0</v>
      </c>
      <c r="F125" s="40">
        <v>0</v>
      </c>
      <c r="G125" s="40">
        <v>0</v>
      </c>
      <c r="H125" s="40">
        <v>0</v>
      </c>
      <c r="I125" s="40">
        <v>0</v>
      </c>
      <c r="J125" s="40">
        <v>0</v>
      </c>
      <c r="K125" s="40">
        <v>0</v>
      </c>
      <c r="L125" s="40">
        <v>0</v>
      </c>
    </row>
    <row r="126" spans="1:15" x14ac:dyDescent="0.25">
      <c r="A126" s="38">
        <v>46245</v>
      </c>
      <c r="B126" s="39">
        <f t="shared" si="3"/>
        <v>46245</v>
      </c>
      <c r="C126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W18 (8/8 - 14/8)</v>
      </c>
      <c r="D126" s="40">
        <v>0</v>
      </c>
      <c r="E126" s="40">
        <v>0</v>
      </c>
      <c r="F126" s="40">
        <v>0</v>
      </c>
      <c r="G126" s="40">
        <v>0</v>
      </c>
      <c r="H126" s="40">
        <v>0</v>
      </c>
      <c r="I126" s="40">
        <v>0</v>
      </c>
      <c r="J126" s="40">
        <v>0</v>
      </c>
      <c r="K126" s="40">
        <v>0</v>
      </c>
      <c r="L126" s="40">
        <v>0</v>
      </c>
    </row>
    <row r="127" spans="1:15" x14ac:dyDescent="0.25">
      <c r="A127" s="38">
        <v>46246</v>
      </c>
      <c r="B127" s="39">
        <f t="shared" si="3"/>
        <v>46246</v>
      </c>
      <c r="C127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W18 (8/8 - 14/8)</v>
      </c>
      <c r="D127" s="40">
        <v>0</v>
      </c>
      <c r="E127" s="40">
        <v>0</v>
      </c>
      <c r="F127" s="40">
        <v>0</v>
      </c>
      <c r="G127" s="40">
        <v>0</v>
      </c>
      <c r="H127" s="40">
        <v>0</v>
      </c>
      <c r="I127" s="40">
        <v>0</v>
      </c>
      <c r="J127" s="40">
        <v>0</v>
      </c>
      <c r="K127" s="40">
        <v>0</v>
      </c>
      <c r="L127" s="40">
        <v>0</v>
      </c>
    </row>
    <row r="128" spans="1:15" x14ac:dyDescent="0.25">
      <c r="A128" s="38">
        <v>46247</v>
      </c>
      <c r="B128" s="39">
        <f t="shared" si="3"/>
        <v>46247</v>
      </c>
      <c r="C128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W18 (8/8 - 14/8)</v>
      </c>
      <c r="D128" s="40">
        <v>0</v>
      </c>
      <c r="E128" s="40">
        <v>0</v>
      </c>
      <c r="F128" s="40">
        <v>0</v>
      </c>
      <c r="G128" s="40">
        <v>0</v>
      </c>
      <c r="H128" s="40">
        <v>0</v>
      </c>
      <c r="I128" s="40">
        <v>0</v>
      </c>
      <c r="J128" s="40">
        <v>0</v>
      </c>
      <c r="K128" s="40">
        <v>0</v>
      </c>
      <c r="L128" s="40">
        <v>0</v>
      </c>
    </row>
    <row r="129" spans="1:12" x14ac:dyDescent="0.25">
      <c r="A129" s="38">
        <v>46248</v>
      </c>
      <c r="B129" s="39">
        <f t="shared" si="3"/>
        <v>46248</v>
      </c>
      <c r="C129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W18 (8/8 - 14/8)</v>
      </c>
      <c r="D129" s="40">
        <v>3</v>
      </c>
      <c r="E129" s="40">
        <v>0</v>
      </c>
      <c r="F129" s="40">
        <v>0</v>
      </c>
      <c r="G129" s="40">
        <v>0</v>
      </c>
      <c r="H129" s="40">
        <v>0</v>
      </c>
      <c r="I129" s="40">
        <v>0</v>
      </c>
      <c r="J129" s="40">
        <v>0</v>
      </c>
      <c r="K129" s="40">
        <v>0</v>
      </c>
      <c r="L129" s="40">
        <v>0</v>
      </c>
    </row>
    <row r="130" spans="1:12" x14ac:dyDescent="0.25">
      <c r="A130" s="38">
        <v>46249</v>
      </c>
      <c r="B130" s="39">
        <f t="shared" si="3"/>
        <v>46249</v>
      </c>
      <c r="C130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W19 (15/8 - 21/8)</v>
      </c>
      <c r="D130" s="40">
        <v>0</v>
      </c>
      <c r="E130" s="40">
        <v>0</v>
      </c>
      <c r="F130" s="40">
        <v>0</v>
      </c>
      <c r="G130" s="40">
        <v>0</v>
      </c>
      <c r="H130" s="40">
        <v>0</v>
      </c>
      <c r="I130" s="40">
        <v>0</v>
      </c>
      <c r="J130" s="40">
        <v>0</v>
      </c>
      <c r="K130" s="40">
        <v>0</v>
      </c>
      <c r="L130" s="40">
        <v>0</v>
      </c>
    </row>
    <row r="131" spans="1:12" x14ac:dyDescent="0.25">
      <c r="A131" s="38">
        <v>46250</v>
      </c>
      <c r="B131" s="39">
        <f t="shared" si="3"/>
        <v>46250</v>
      </c>
      <c r="C131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W19 (15/8 - 21/8)</v>
      </c>
      <c r="D131" s="40">
        <v>0</v>
      </c>
      <c r="E131" s="40">
        <v>0</v>
      </c>
      <c r="F131" s="40">
        <v>0</v>
      </c>
      <c r="G131" s="40">
        <v>0</v>
      </c>
      <c r="H131" s="40">
        <v>0</v>
      </c>
      <c r="I131" s="40">
        <v>0</v>
      </c>
      <c r="J131" s="40">
        <v>0</v>
      </c>
      <c r="K131" s="40">
        <v>0</v>
      </c>
      <c r="L131" s="40">
        <v>0</v>
      </c>
    </row>
    <row r="132" spans="1:12" x14ac:dyDescent="0.25">
      <c r="A132" s="38">
        <v>46251</v>
      </c>
      <c r="B132" s="39">
        <f t="shared" si="3"/>
        <v>46251</v>
      </c>
      <c r="C132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W19 (15/8 - 21/8)</v>
      </c>
      <c r="D132" s="40">
        <v>0</v>
      </c>
      <c r="E132" s="40">
        <v>0</v>
      </c>
      <c r="F132" s="40">
        <v>0</v>
      </c>
      <c r="G132" s="40">
        <v>0</v>
      </c>
      <c r="H132" s="40">
        <v>0</v>
      </c>
      <c r="I132" s="40">
        <v>0</v>
      </c>
      <c r="J132" s="40">
        <v>0</v>
      </c>
      <c r="K132" s="40">
        <v>0</v>
      </c>
      <c r="L132" s="40">
        <v>0</v>
      </c>
    </row>
    <row r="133" spans="1:12" x14ac:dyDescent="0.25">
      <c r="A133" s="38">
        <v>46252</v>
      </c>
      <c r="B133" s="39">
        <f t="shared" si="3"/>
        <v>46252</v>
      </c>
      <c r="C133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W19 (15/8 - 21/8)</v>
      </c>
      <c r="D133" s="40">
        <v>0</v>
      </c>
      <c r="E133" s="40">
        <v>0</v>
      </c>
      <c r="F133" s="40">
        <v>0</v>
      </c>
      <c r="G133" s="40">
        <v>0</v>
      </c>
      <c r="H133" s="40">
        <v>0</v>
      </c>
      <c r="I133" s="40">
        <v>0</v>
      </c>
      <c r="J133" s="40">
        <v>0</v>
      </c>
      <c r="K133" s="40">
        <v>0</v>
      </c>
      <c r="L133" s="40">
        <v>0</v>
      </c>
    </row>
    <row r="134" spans="1:12" x14ac:dyDescent="0.25">
      <c r="A134" s="38">
        <v>46253</v>
      </c>
      <c r="B134" s="39">
        <f t="shared" ref="B134:B165" si="4">A134</f>
        <v>46253</v>
      </c>
      <c r="C134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W19 (15/8 - 21/8)</v>
      </c>
      <c r="D134" s="40">
        <v>12</v>
      </c>
      <c r="E134" s="40">
        <v>0</v>
      </c>
      <c r="F134" s="40">
        <v>0</v>
      </c>
      <c r="G134" s="40">
        <v>0</v>
      </c>
      <c r="H134" s="40">
        <v>0</v>
      </c>
      <c r="I134" s="40">
        <v>0</v>
      </c>
      <c r="J134" s="40">
        <v>0</v>
      </c>
      <c r="K134" s="40">
        <v>0</v>
      </c>
      <c r="L134" s="40">
        <v>0</v>
      </c>
    </row>
    <row r="135" spans="1:12" x14ac:dyDescent="0.25">
      <c r="A135" s="38">
        <v>46254</v>
      </c>
      <c r="B135" s="39">
        <f t="shared" si="4"/>
        <v>46254</v>
      </c>
      <c r="C135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W19 (15/8 - 21/8)</v>
      </c>
      <c r="D135" s="40">
        <v>1</v>
      </c>
      <c r="E135" s="40">
        <v>0</v>
      </c>
      <c r="F135" s="40">
        <v>0</v>
      </c>
      <c r="G135" s="40">
        <v>0</v>
      </c>
      <c r="H135" s="40">
        <v>0</v>
      </c>
      <c r="I135" s="40">
        <v>0</v>
      </c>
      <c r="J135" s="40">
        <v>0</v>
      </c>
      <c r="K135" s="40">
        <v>0</v>
      </c>
      <c r="L135" s="40">
        <v>0</v>
      </c>
    </row>
    <row r="136" spans="1:12" x14ac:dyDescent="0.25">
      <c r="A136" s="38">
        <v>46255</v>
      </c>
      <c r="B136" s="39">
        <f t="shared" si="4"/>
        <v>46255</v>
      </c>
      <c r="C136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W19 (15/8 - 21/8)</v>
      </c>
      <c r="D136" s="40">
        <v>4</v>
      </c>
      <c r="E136" s="40">
        <v>0</v>
      </c>
      <c r="F136" s="40">
        <v>0</v>
      </c>
      <c r="G136" s="40">
        <v>0</v>
      </c>
      <c r="H136" s="40">
        <v>0</v>
      </c>
      <c r="I136" s="40">
        <v>0</v>
      </c>
      <c r="J136" s="40">
        <v>0</v>
      </c>
      <c r="K136" s="40">
        <v>0</v>
      </c>
      <c r="L136" s="40">
        <v>0</v>
      </c>
    </row>
    <row r="137" spans="1:12" x14ac:dyDescent="0.25">
      <c r="A137" s="38">
        <v>46256</v>
      </c>
      <c r="B137" s="39">
        <f t="shared" si="4"/>
        <v>46256</v>
      </c>
      <c r="C137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W20 (22/8 - 28/8)</v>
      </c>
      <c r="D137" s="40">
        <v>0</v>
      </c>
      <c r="E137" s="40">
        <v>0</v>
      </c>
      <c r="F137" s="40">
        <v>0</v>
      </c>
      <c r="G137" s="40">
        <v>0</v>
      </c>
      <c r="H137" s="40">
        <v>0</v>
      </c>
      <c r="I137" s="40">
        <v>0</v>
      </c>
      <c r="J137" s="40">
        <v>0</v>
      </c>
      <c r="K137" s="40">
        <v>0</v>
      </c>
      <c r="L137" s="40">
        <v>0</v>
      </c>
    </row>
    <row r="138" spans="1:12" x14ac:dyDescent="0.25">
      <c r="A138" s="38">
        <v>46257</v>
      </c>
      <c r="B138" s="39">
        <f t="shared" si="4"/>
        <v>46257</v>
      </c>
      <c r="C138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W20 (22/8 - 28/8)</v>
      </c>
      <c r="D138" s="40">
        <v>0</v>
      </c>
      <c r="E138" s="40">
        <v>0</v>
      </c>
      <c r="F138" s="40">
        <v>0</v>
      </c>
      <c r="G138" s="40">
        <v>0</v>
      </c>
      <c r="H138" s="40">
        <v>0</v>
      </c>
      <c r="I138" s="40">
        <v>0</v>
      </c>
      <c r="J138" s="40">
        <v>0</v>
      </c>
      <c r="K138" s="40">
        <v>0</v>
      </c>
      <c r="L138" s="40">
        <v>0</v>
      </c>
    </row>
    <row r="139" spans="1:12" x14ac:dyDescent="0.25">
      <c r="A139" s="38">
        <v>46258</v>
      </c>
      <c r="B139" s="39">
        <f t="shared" si="4"/>
        <v>46258</v>
      </c>
      <c r="C139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W20 (22/8 - 28/8)</v>
      </c>
      <c r="D139" s="40">
        <v>4</v>
      </c>
      <c r="E139" s="40">
        <v>0</v>
      </c>
      <c r="F139" s="40">
        <v>0</v>
      </c>
      <c r="G139" s="40">
        <v>0</v>
      </c>
      <c r="H139" s="40">
        <v>0</v>
      </c>
      <c r="I139" s="40">
        <v>0</v>
      </c>
      <c r="J139" s="40">
        <v>0</v>
      </c>
      <c r="K139" s="40">
        <v>0</v>
      </c>
      <c r="L139" s="40">
        <v>0</v>
      </c>
    </row>
    <row r="140" spans="1:12" x14ac:dyDescent="0.25">
      <c r="A140" s="38">
        <v>46259</v>
      </c>
      <c r="B140" s="42">
        <f t="shared" si="4"/>
        <v>46259</v>
      </c>
      <c r="C140" s="43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W20 (22/8 - 28/8)</v>
      </c>
      <c r="D140" s="40">
        <v>0</v>
      </c>
      <c r="E140" s="40">
        <v>0</v>
      </c>
      <c r="F140" s="40">
        <v>0</v>
      </c>
      <c r="G140" s="40">
        <v>0</v>
      </c>
      <c r="H140" s="40">
        <v>0</v>
      </c>
      <c r="I140" s="40">
        <v>0</v>
      </c>
      <c r="J140" s="40">
        <v>0</v>
      </c>
      <c r="K140" s="40">
        <v>0</v>
      </c>
      <c r="L140" s="40">
        <v>0</v>
      </c>
    </row>
    <row r="141" spans="1:12" x14ac:dyDescent="0.25">
      <c r="A141" s="38">
        <v>46260</v>
      </c>
      <c r="B141" s="39">
        <f t="shared" si="4"/>
        <v>46260</v>
      </c>
      <c r="C141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W20 (22/8 - 28/8)</v>
      </c>
      <c r="D141" s="40">
        <v>1</v>
      </c>
      <c r="E141" s="40">
        <v>0</v>
      </c>
      <c r="F141" s="40">
        <v>0</v>
      </c>
      <c r="G141" s="40">
        <v>0</v>
      </c>
      <c r="H141" s="40">
        <v>0</v>
      </c>
      <c r="I141" s="40">
        <v>0</v>
      </c>
      <c r="J141" s="40">
        <v>0</v>
      </c>
      <c r="K141" s="40">
        <v>0</v>
      </c>
      <c r="L141" s="40">
        <v>0</v>
      </c>
    </row>
    <row r="142" spans="1:12" x14ac:dyDescent="0.25">
      <c r="A142" s="38">
        <v>46261</v>
      </c>
      <c r="B142" s="39">
        <f t="shared" si="4"/>
        <v>46261</v>
      </c>
      <c r="C142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W20 (22/8 - 28/8)</v>
      </c>
      <c r="D142" s="40">
        <v>3</v>
      </c>
      <c r="E142" s="40">
        <v>0</v>
      </c>
      <c r="F142" s="40">
        <v>0</v>
      </c>
      <c r="G142" s="40">
        <v>0</v>
      </c>
      <c r="H142" s="40">
        <v>0</v>
      </c>
      <c r="I142" s="40">
        <v>0</v>
      </c>
      <c r="J142" s="40">
        <v>0</v>
      </c>
      <c r="K142" s="40">
        <v>0</v>
      </c>
      <c r="L142" s="40">
        <v>0</v>
      </c>
    </row>
    <row r="143" spans="1:12" x14ac:dyDescent="0.25">
      <c r="A143" s="38">
        <v>46262</v>
      </c>
      <c r="B143" s="39">
        <f t="shared" si="4"/>
        <v>46262</v>
      </c>
      <c r="C143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W20 (22/8 - 28/8)</v>
      </c>
      <c r="D143" s="40">
        <v>12</v>
      </c>
      <c r="E143" s="40">
        <v>0</v>
      </c>
      <c r="F143" s="40">
        <v>0</v>
      </c>
      <c r="G143" s="40">
        <v>0</v>
      </c>
      <c r="H143" s="40">
        <v>0</v>
      </c>
      <c r="I143" s="40">
        <v>0</v>
      </c>
      <c r="J143" s="40">
        <v>0</v>
      </c>
      <c r="K143" s="40">
        <v>0</v>
      </c>
      <c r="L143" s="40">
        <v>0</v>
      </c>
    </row>
    <row r="144" spans="1:12" x14ac:dyDescent="0.25">
      <c r="A144" s="38">
        <v>46263</v>
      </c>
      <c r="B144" s="39">
        <f t="shared" si="4"/>
        <v>46263</v>
      </c>
      <c r="C144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W21 (29/8 - 4/9)</v>
      </c>
      <c r="D144" s="40">
        <v>0</v>
      </c>
      <c r="E144" s="40">
        <v>0</v>
      </c>
      <c r="F144" s="40">
        <v>0</v>
      </c>
      <c r="G144" s="40">
        <v>0</v>
      </c>
      <c r="H144" s="40">
        <v>0</v>
      </c>
      <c r="I144" s="40">
        <v>0</v>
      </c>
      <c r="J144" s="40">
        <v>0</v>
      </c>
      <c r="K144" s="40">
        <v>0</v>
      </c>
      <c r="L144" s="40">
        <v>0</v>
      </c>
    </row>
    <row r="145" spans="1:12" x14ac:dyDescent="0.25">
      <c r="A145" s="38">
        <v>46264</v>
      </c>
      <c r="B145" s="42">
        <f t="shared" si="4"/>
        <v>46264</v>
      </c>
      <c r="C145" s="43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W21 (29/8 - 4/9)</v>
      </c>
      <c r="D145" s="40">
        <v>0</v>
      </c>
      <c r="E145" s="40">
        <v>0</v>
      </c>
      <c r="F145" s="40">
        <v>0</v>
      </c>
      <c r="G145" s="40">
        <v>0</v>
      </c>
      <c r="H145" s="40">
        <v>0</v>
      </c>
      <c r="I145" s="40">
        <v>0</v>
      </c>
      <c r="J145" s="40">
        <v>0</v>
      </c>
      <c r="K145" s="40">
        <v>0</v>
      </c>
      <c r="L145" s="40">
        <v>0</v>
      </c>
    </row>
    <row r="146" spans="1:12" x14ac:dyDescent="0.25">
      <c r="A146" s="38">
        <v>46265</v>
      </c>
      <c r="B146" s="39">
        <f t="shared" si="4"/>
        <v>46265</v>
      </c>
      <c r="C146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W21 (29/8 - 4/9)</v>
      </c>
      <c r="D146" s="40">
        <v>0</v>
      </c>
      <c r="E146" s="40">
        <v>0</v>
      </c>
      <c r="F146" s="40">
        <v>0</v>
      </c>
      <c r="G146" s="40">
        <v>0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</row>
    <row r="147" spans="1:12" x14ac:dyDescent="0.25">
      <c r="A147" s="38">
        <v>46266</v>
      </c>
      <c r="B147" s="39">
        <f t="shared" si="4"/>
        <v>46266</v>
      </c>
      <c r="C147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W21 (29/8 - 4/9)</v>
      </c>
      <c r="D147" s="40">
        <v>16</v>
      </c>
      <c r="E147" s="40">
        <v>0</v>
      </c>
      <c r="F147" s="40">
        <v>0</v>
      </c>
      <c r="G147" s="40">
        <v>0</v>
      </c>
      <c r="H147" s="40">
        <v>0</v>
      </c>
      <c r="I147" s="40">
        <v>0</v>
      </c>
      <c r="J147" s="40">
        <v>0</v>
      </c>
      <c r="K147" s="40">
        <v>0</v>
      </c>
      <c r="L147" s="40">
        <v>0</v>
      </c>
    </row>
    <row r="148" spans="1:12" x14ac:dyDescent="0.25">
      <c r="A148" s="38">
        <v>46267</v>
      </c>
      <c r="B148" s="39">
        <f t="shared" si="4"/>
        <v>46267</v>
      </c>
      <c r="C148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W21 (29/8 - 4/9)</v>
      </c>
      <c r="D148" s="40">
        <v>20</v>
      </c>
      <c r="E148" s="40">
        <v>0</v>
      </c>
      <c r="F148" s="40">
        <v>0</v>
      </c>
      <c r="G148" s="40">
        <v>0</v>
      </c>
      <c r="H148" s="40">
        <v>0</v>
      </c>
      <c r="I148" s="40">
        <v>0</v>
      </c>
      <c r="J148" s="40">
        <v>0</v>
      </c>
      <c r="K148" s="40">
        <v>0</v>
      </c>
      <c r="L148" s="40">
        <v>0</v>
      </c>
    </row>
    <row r="149" spans="1:12" x14ac:dyDescent="0.25">
      <c r="A149" s="38">
        <v>46268</v>
      </c>
      <c r="B149" s="39">
        <f t="shared" si="4"/>
        <v>46268</v>
      </c>
      <c r="C149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W21 (29/8 - 4/9)</v>
      </c>
      <c r="D149" s="40">
        <v>0</v>
      </c>
      <c r="E149" s="40">
        <v>0</v>
      </c>
      <c r="F149" s="40">
        <v>0</v>
      </c>
      <c r="G149" s="40">
        <v>0</v>
      </c>
      <c r="H149" s="40">
        <v>0</v>
      </c>
      <c r="I149" s="40">
        <v>0</v>
      </c>
      <c r="J149" s="40">
        <v>0</v>
      </c>
      <c r="K149" s="40">
        <v>0</v>
      </c>
      <c r="L149" s="40">
        <v>0</v>
      </c>
    </row>
    <row r="150" spans="1:12" x14ac:dyDescent="0.25">
      <c r="A150" s="38">
        <v>46269</v>
      </c>
      <c r="B150" s="39">
        <f t="shared" si="4"/>
        <v>46269</v>
      </c>
      <c r="C150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W21 (29/8 - 4/9)</v>
      </c>
      <c r="D150" s="40">
        <v>0</v>
      </c>
      <c r="E150" s="40">
        <v>0</v>
      </c>
      <c r="F150" s="40">
        <v>0</v>
      </c>
      <c r="G150" s="40">
        <v>0</v>
      </c>
      <c r="H150" s="40">
        <v>0</v>
      </c>
      <c r="I150" s="40">
        <v>0</v>
      </c>
      <c r="J150" s="40">
        <v>0</v>
      </c>
      <c r="K150" s="40">
        <v>0</v>
      </c>
      <c r="L150" s="40">
        <v>0</v>
      </c>
    </row>
    <row r="151" spans="1:12" x14ac:dyDescent="0.25">
      <c r="A151" s="38">
        <v>46270</v>
      </c>
      <c r="B151" s="39">
        <f t="shared" si="4"/>
        <v>46270</v>
      </c>
      <c r="C151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W22 (5/9 - 11/9)</v>
      </c>
      <c r="D151" s="40">
        <v>0</v>
      </c>
      <c r="E151" s="40">
        <v>0</v>
      </c>
      <c r="F151" s="40">
        <v>0</v>
      </c>
      <c r="G151" s="40">
        <v>0</v>
      </c>
      <c r="H151" s="40">
        <v>0</v>
      </c>
      <c r="I151" s="40">
        <v>0</v>
      </c>
      <c r="J151" s="40">
        <v>0</v>
      </c>
      <c r="K151" s="40">
        <v>0</v>
      </c>
      <c r="L151" s="40">
        <v>0</v>
      </c>
    </row>
    <row r="152" spans="1:12" x14ac:dyDescent="0.25">
      <c r="A152" s="38">
        <v>46271</v>
      </c>
      <c r="B152" s="39">
        <f t="shared" si="4"/>
        <v>46271</v>
      </c>
      <c r="C152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W22 (5/9 - 11/9)</v>
      </c>
      <c r="D152" s="40">
        <v>0</v>
      </c>
      <c r="E152" s="40">
        <v>0</v>
      </c>
      <c r="F152" s="40">
        <v>0</v>
      </c>
      <c r="G152" s="40">
        <v>0</v>
      </c>
      <c r="H152" s="40">
        <v>0</v>
      </c>
      <c r="I152" s="40">
        <v>0</v>
      </c>
      <c r="J152" s="40">
        <v>0</v>
      </c>
      <c r="K152" s="40">
        <v>0</v>
      </c>
      <c r="L152" s="40">
        <v>0</v>
      </c>
    </row>
    <row r="153" spans="1:12" x14ac:dyDescent="0.25">
      <c r="A153" s="38">
        <v>46272</v>
      </c>
      <c r="B153" s="39">
        <f t="shared" si="4"/>
        <v>46272</v>
      </c>
      <c r="C153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W22 (5/9 - 11/9)</v>
      </c>
      <c r="D153" s="40">
        <v>8</v>
      </c>
      <c r="E153" s="40">
        <v>0</v>
      </c>
      <c r="F153" s="40">
        <v>0</v>
      </c>
      <c r="G153" s="40">
        <v>0</v>
      </c>
      <c r="H153" s="40">
        <v>0</v>
      </c>
      <c r="I153" s="40">
        <v>0</v>
      </c>
      <c r="J153" s="40">
        <v>0</v>
      </c>
      <c r="K153" s="40">
        <v>0</v>
      </c>
      <c r="L153" s="40">
        <v>0</v>
      </c>
    </row>
    <row r="154" spans="1:12" x14ac:dyDescent="0.25">
      <c r="A154" s="38">
        <v>46273</v>
      </c>
      <c r="B154" s="39">
        <f t="shared" si="4"/>
        <v>46273</v>
      </c>
      <c r="C154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W22 (5/9 - 11/9)</v>
      </c>
      <c r="D154" s="40">
        <v>0</v>
      </c>
      <c r="E154" s="40">
        <v>18</v>
      </c>
      <c r="F154" s="40">
        <v>0</v>
      </c>
      <c r="G154" s="40">
        <v>0</v>
      </c>
      <c r="H154" s="40">
        <v>0</v>
      </c>
      <c r="I154" s="40">
        <v>0</v>
      </c>
      <c r="J154" s="40">
        <v>0</v>
      </c>
      <c r="K154" s="40">
        <v>0</v>
      </c>
      <c r="L154" s="40">
        <v>0</v>
      </c>
    </row>
    <row r="155" spans="1:12" x14ac:dyDescent="0.25">
      <c r="A155" s="38">
        <v>46274</v>
      </c>
      <c r="B155" s="39">
        <f t="shared" si="4"/>
        <v>46274</v>
      </c>
      <c r="C155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W22 (5/9 - 11/9)</v>
      </c>
      <c r="D155" s="40">
        <v>7</v>
      </c>
      <c r="E155" s="40">
        <v>0</v>
      </c>
      <c r="F155" s="40">
        <v>0</v>
      </c>
      <c r="G155" s="40">
        <v>0</v>
      </c>
      <c r="H155" s="40">
        <v>0</v>
      </c>
      <c r="I155" s="40">
        <v>0</v>
      </c>
      <c r="J155" s="40">
        <v>0</v>
      </c>
      <c r="K155" s="40">
        <v>0</v>
      </c>
      <c r="L155" s="40">
        <v>0</v>
      </c>
    </row>
    <row r="156" spans="1:12" x14ac:dyDescent="0.25">
      <c r="A156" s="38">
        <v>46275</v>
      </c>
      <c r="B156" s="39">
        <f t="shared" si="4"/>
        <v>46275</v>
      </c>
      <c r="C156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W22 (5/9 - 11/9)</v>
      </c>
      <c r="D156" s="40">
        <v>0</v>
      </c>
      <c r="E156" s="40">
        <v>0</v>
      </c>
      <c r="F156" s="40">
        <v>0</v>
      </c>
      <c r="G156" s="40">
        <v>0</v>
      </c>
      <c r="H156" s="40">
        <v>0</v>
      </c>
      <c r="I156" s="40">
        <v>0</v>
      </c>
      <c r="J156" s="40">
        <v>0</v>
      </c>
      <c r="K156" s="40">
        <v>0</v>
      </c>
      <c r="L156" s="40">
        <v>0</v>
      </c>
    </row>
    <row r="157" spans="1:12" x14ac:dyDescent="0.25">
      <c r="A157" s="38">
        <v>46276</v>
      </c>
      <c r="B157" s="39">
        <f t="shared" si="4"/>
        <v>46276</v>
      </c>
      <c r="C157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W22 (5/9 - 11/9)</v>
      </c>
      <c r="D157" s="40">
        <v>6</v>
      </c>
      <c r="E157" s="40">
        <v>0</v>
      </c>
      <c r="F157" s="40">
        <v>0</v>
      </c>
      <c r="G157" s="40">
        <v>0</v>
      </c>
      <c r="H157" s="40">
        <v>0</v>
      </c>
      <c r="I157" s="40">
        <v>0</v>
      </c>
      <c r="J157" s="40">
        <v>0</v>
      </c>
      <c r="K157" s="40">
        <v>0</v>
      </c>
      <c r="L157" s="40">
        <v>0</v>
      </c>
    </row>
    <row r="158" spans="1:12" x14ac:dyDescent="0.25">
      <c r="A158" s="38">
        <v>46277</v>
      </c>
      <c r="B158" s="39">
        <f t="shared" si="4"/>
        <v>46277</v>
      </c>
      <c r="C158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W23 (12/9 - 18/9)</v>
      </c>
      <c r="D158" s="40">
        <v>0</v>
      </c>
      <c r="E158" s="40">
        <v>0</v>
      </c>
      <c r="F158" s="40">
        <v>0</v>
      </c>
      <c r="G158" s="40">
        <v>0</v>
      </c>
      <c r="H158" s="40">
        <v>0</v>
      </c>
      <c r="I158" s="40">
        <v>0</v>
      </c>
      <c r="J158" s="40">
        <v>0</v>
      </c>
      <c r="K158" s="40">
        <v>0</v>
      </c>
      <c r="L158" s="40">
        <v>0</v>
      </c>
    </row>
    <row r="159" spans="1:12" x14ac:dyDescent="0.25">
      <c r="A159" s="38">
        <v>46278</v>
      </c>
      <c r="B159" s="39">
        <f t="shared" si="4"/>
        <v>46278</v>
      </c>
      <c r="C159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W23 (12/9 - 18/9)</v>
      </c>
      <c r="D159" s="40">
        <v>0</v>
      </c>
      <c r="E159" s="40">
        <v>0</v>
      </c>
      <c r="F159" s="40">
        <v>0</v>
      </c>
      <c r="G159" s="40">
        <v>0</v>
      </c>
      <c r="H159" s="40">
        <v>0</v>
      </c>
      <c r="I159" s="40">
        <v>0</v>
      </c>
      <c r="J159" s="40">
        <v>0</v>
      </c>
      <c r="K159" s="40">
        <v>0</v>
      </c>
      <c r="L159" s="40">
        <v>0</v>
      </c>
    </row>
    <row r="160" spans="1:12" x14ac:dyDescent="0.25">
      <c r="A160" s="38">
        <v>46279</v>
      </c>
      <c r="B160" s="39">
        <f t="shared" si="4"/>
        <v>46279</v>
      </c>
      <c r="C160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W23 (12/9 - 18/9)</v>
      </c>
      <c r="D160" s="40">
        <v>7</v>
      </c>
      <c r="E160" s="40">
        <v>0</v>
      </c>
      <c r="F160" s="40">
        <v>0</v>
      </c>
      <c r="G160" s="40">
        <v>0</v>
      </c>
      <c r="H160" s="40">
        <v>0</v>
      </c>
      <c r="I160" s="40">
        <v>0</v>
      </c>
      <c r="J160" s="40">
        <v>0</v>
      </c>
      <c r="K160" s="40">
        <v>0</v>
      </c>
      <c r="L160" s="40">
        <v>0</v>
      </c>
    </row>
    <row r="161" spans="1:12" x14ac:dyDescent="0.25">
      <c r="A161" s="38">
        <v>46280</v>
      </c>
      <c r="B161" s="39">
        <f t="shared" si="4"/>
        <v>46280</v>
      </c>
      <c r="C161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W23 (12/9 - 18/9)</v>
      </c>
      <c r="D161" s="40">
        <v>1</v>
      </c>
      <c r="E161" s="40">
        <v>0</v>
      </c>
      <c r="F161" s="40">
        <v>0</v>
      </c>
      <c r="G161" s="40">
        <v>0</v>
      </c>
      <c r="H161" s="40">
        <v>0</v>
      </c>
      <c r="I161" s="40">
        <v>0</v>
      </c>
      <c r="J161" s="40">
        <v>0</v>
      </c>
      <c r="K161" s="40">
        <v>0</v>
      </c>
      <c r="L161" s="40">
        <v>0</v>
      </c>
    </row>
    <row r="162" spans="1:12" x14ac:dyDescent="0.25">
      <c r="A162" s="38">
        <v>46281</v>
      </c>
      <c r="B162" s="39">
        <f t="shared" si="4"/>
        <v>46281</v>
      </c>
      <c r="C162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W23 (12/9 - 18/9)</v>
      </c>
      <c r="D162" s="40">
        <v>0</v>
      </c>
      <c r="E162" s="40">
        <v>0</v>
      </c>
      <c r="F162" s="40">
        <v>0</v>
      </c>
      <c r="G162" s="40">
        <v>0</v>
      </c>
      <c r="H162" s="40">
        <v>0</v>
      </c>
      <c r="I162" s="40">
        <v>0</v>
      </c>
      <c r="J162" s="40">
        <v>0</v>
      </c>
      <c r="K162" s="40">
        <v>0</v>
      </c>
      <c r="L162" s="40">
        <v>0</v>
      </c>
    </row>
    <row r="163" spans="1:12" x14ac:dyDescent="0.25">
      <c r="A163" s="38">
        <v>46282</v>
      </c>
      <c r="B163" s="39">
        <f t="shared" si="4"/>
        <v>46282</v>
      </c>
      <c r="C163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W23 (12/9 - 18/9)</v>
      </c>
      <c r="D163" s="40">
        <v>0</v>
      </c>
      <c r="E163" s="40">
        <v>0</v>
      </c>
      <c r="F163" s="40">
        <v>0</v>
      </c>
      <c r="G163" s="40">
        <v>0</v>
      </c>
      <c r="H163" s="40">
        <v>0</v>
      </c>
      <c r="I163" s="40">
        <v>0</v>
      </c>
      <c r="J163" s="40">
        <v>0</v>
      </c>
      <c r="K163" s="40">
        <v>0</v>
      </c>
      <c r="L163" s="40">
        <v>0</v>
      </c>
    </row>
    <row r="164" spans="1:12" x14ac:dyDescent="0.25">
      <c r="A164" s="38">
        <v>46283</v>
      </c>
      <c r="B164" s="39">
        <f t="shared" si="4"/>
        <v>46283</v>
      </c>
      <c r="C164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W23 (12/9 - 18/9)</v>
      </c>
      <c r="D164" s="40">
        <v>0</v>
      </c>
      <c r="E164" s="40">
        <v>0</v>
      </c>
      <c r="F164" s="40">
        <v>0</v>
      </c>
      <c r="G164" s="40">
        <v>0</v>
      </c>
      <c r="H164" s="40">
        <v>0</v>
      </c>
      <c r="I164" s="40">
        <v>0</v>
      </c>
      <c r="J164" s="40">
        <v>0</v>
      </c>
      <c r="K164" s="40">
        <v>0</v>
      </c>
      <c r="L164" s="40">
        <v>0</v>
      </c>
    </row>
    <row r="165" spans="1:12" x14ac:dyDescent="0.25">
      <c r="A165" s="38">
        <v>46284</v>
      </c>
      <c r="B165" s="39">
        <f t="shared" si="4"/>
        <v>46284</v>
      </c>
      <c r="C165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W24 (19/9 - 25/9)</v>
      </c>
      <c r="D165" s="40">
        <v>0</v>
      </c>
      <c r="E165" s="40">
        <v>0</v>
      </c>
      <c r="F165" s="40">
        <v>0</v>
      </c>
      <c r="G165" s="40">
        <v>0</v>
      </c>
      <c r="H165" s="40">
        <v>0</v>
      </c>
      <c r="I165" s="40">
        <v>0</v>
      </c>
      <c r="J165" s="40">
        <v>0</v>
      </c>
      <c r="K165" s="40">
        <v>0</v>
      </c>
      <c r="L165" s="40">
        <v>0</v>
      </c>
    </row>
    <row r="166" spans="1:12" x14ac:dyDescent="0.25">
      <c r="A166" s="38">
        <v>46285</v>
      </c>
      <c r="B166" s="39">
        <f t="shared" ref="B166:B197" si="5">A166</f>
        <v>46285</v>
      </c>
      <c r="C166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W24 (19/9 - 25/9)</v>
      </c>
      <c r="D166" s="40">
        <v>0</v>
      </c>
      <c r="E166" s="40">
        <v>0</v>
      </c>
      <c r="F166" s="40">
        <v>0</v>
      </c>
      <c r="G166" s="40">
        <v>0</v>
      </c>
      <c r="H166" s="40">
        <v>0</v>
      </c>
      <c r="I166" s="40">
        <v>0</v>
      </c>
      <c r="J166" s="40">
        <v>0</v>
      </c>
      <c r="K166" s="40">
        <v>0</v>
      </c>
      <c r="L166" s="40">
        <v>0</v>
      </c>
    </row>
    <row r="167" spans="1:12" x14ac:dyDescent="0.25">
      <c r="A167" s="38">
        <v>46286</v>
      </c>
      <c r="B167" s="39">
        <f t="shared" si="5"/>
        <v>46286</v>
      </c>
      <c r="C167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W24 (19/9 - 25/9)</v>
      </c>
      <c r="D167" s="40">
        <v>8</v>
      </c>
      <c r="E167" s="40">
        <v>0</v>
      </c>
      <c r="F167" s="40">
        <v>0</v>
      </c>
      <c r="G167" s="40">
        <v>0</v>
      </c>
      <c r="H167" s="40">
        <v>0</v>
      </c>
      <c r="I167" s="40">
        <v>0</v>
      </c>
      <c r="J167" s="40">
        <v>0</v>
      </c>
      <c r="K167" s="40">
        <v>0</v>
      </c>
      <c r="L167" s="40">
        <v>0</v>
      </c>
    </row>
    <row r="168" spans="1:12" x14ac:dyDescent="0.25">
      <c r="A168" s="38">
        <v>46287</v>
      </c>
      <c r="B168" s="39">
        <f t="shared" si="5"/>
        <v>46287</v>
      </c>
      <c r="C168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W24 (19/9 - 25/9)</v>
      </c>
      <c r="D168" s="40">
        <v>0</v>
      </c>
      <c r="E168" s="40">
        <v>0</v>
      </c>
      <c r="F168" s="40">
        <v>0</v>
      </c>
      <c r="G168" s="40">
        <v>0</v>
      </c>
      <c r="H168" s="40">
        <v>0</v>
      </c>
      <c r="I168" s="40">
        <v>0</v>
      </c>
      <c r="J168" s="40">
        <v>0</v>
      </c>
      <c r="K168" s="40">
        <v>0</v>
      </c>
      <c r="L168" s="40">
        <v>0</v>
      </c>
    </row>
    <row r="169" spans="1:12" x14ac:dyDescent="0.25">
      <c r="A169" s="38">
        <v>46288</v>
      </c>
      <c r="B169" s="39">
        <f t="shared" si="5"/>
        <v>46288</v>
      </c>
      <c r="C169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W24 (19/9 - 25/9)</v>
      </c>
      <c r="D169" s="40">
        <v>0</v>
      </c>
      <c r="E169" s="40">
        <v>0</v>
      </c>
      <c r="F169" s="40">
        <v>0</v>
      </c>
      <c r="G169" s="40">
        <v>0</v>
      </c>
      <c r="H169" s="40">
        <v>0</v>
      </c>
      <c r="I169" s="40">
        <v>0</v>
      </c>
      <c r="J169" s="40">
        <v>0</v>
      </c>
      <c r="K169" s="40">
        <v>0</v>
      </c>
      <c r="L169" s="40">
        <v>0</v>
      </c>
    </row>
    <row r="170" spans="1:12" x14ac:dyDescent="0.25">
      <c r="A170" s="38">
        <v>46289</v>
      </c>
      <c r="B170" s="39">
        <f t="shared" si="5"/>
        <v>46289</v>
      </c>
      <c r="C170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W24 (19/9 - 25/9)</v>
      </c>
      <c r="D170" s="40">
        <v>1</v>
      </c>
      <c r="E170" s="40">
        <v>0</v>
      </c>
      <c r="F170" s="40">
        <v>0</v>
      </c>
      <c r="G170" s="40">
        <v>0</v>
      </c>
      <c r="H170" s="40">
        <v>0</v>
      </c>
      <c r="I170" s="40">
        <v>0</v>
      </c>
      <c r="J170" s="40">
        <v>0</v>
      </c>
      <c r="K170" s="40">
        <v>0</v>
      </c>
      <c r="L170" s="40">
        <v>0</v>
      </c>
    </row>
    <row r="171" spans="1:12" x14ac:dyDescent="0.25">
      <c r="A171" s="38">
        <v>46290</v>
      </c>
      <c r="B171" s="39">
        <f t="shared" si="5"/>
        <v>46290</v>
      </c>
      <c r="C171" s="40" t="str">
        <f>IF(Leading20[[#This Row],[DATE]]&lt;DATE(2026,4,11),"0",_xlfn.LET(
_xlpm.W,INT((Leading20[[#This Row],[DATE]]-DATE(2026,4,11))/7)+1,
_xlpm.S,DATE(2026,4,11)+(_xlpm.W-1)*7,
_xlpm.E,_xlpm.S+6,
"W"&amp;TEXT(_xlpm.W,"00")&amp;" ("&amp;TEXT(_xlpm.S,"d/m")&amp;" - "&amp;TEXT(_xlpm.E,"d/m")&amp;")"
))</f>
        <v>W24 (19/9 - 25/9)</v>
      </c>
      <c r="D171" s="40">
        <v>14</v>
      </c>
      <c r="E171" s="40">
        <v>0</v>
      </c>
      <c r="F171" s="40">
        <v>0</v>
      </c>
      <c r="G171" s="40">
        <v>0</v>
      </c>
      <c r="H171" s="40">
        <v>0</v>
      </c>
      <c r="I171" s="40">
        <v>0</v>
      </c>
      <c r="J171" s="40">
        <v>0</v>
      </c>
      <c r="K171" s="40">
        <v>0</v>
      </c>
      <c r="L171" s="40">
        <v>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5"/>
  <sheetViews>
    <sheetView tabSelected="1" workbookViewId="0">
      <pane ySplit="1" topLeftCell="A2" activePane="bottomLeft" state="frozen"/>
      <selection pane="bottomLeft" activeCell="M30" sqref="M30"/>
    </sheetView>
  </sheetViews>
  <sheetFormatPr defaultRowHeight="15" x14ac:dyDescent="0.25"/>
  <cols>
    <col min="1" max="1" width="18" customWidth="1"/>
    <col min="2" max="2" width="16" customWidth="1"/>
    <col min="3" max="3" width="30" customWidth="1"/>
    <col min="4" max="5" width="12" customWidth="1"/>
  </cols>
  <sheetData>
    <row r="1" spans="1:5" x14ac:dyDescent="0.25">
      <c r="A1" s="45" t="s">
        <v>413</v>
      </c>
      <c r="B1" s="45" t="s">
        <v>414</v>
      </c>
      <c r="C1" s="45" t="s">
        <v>415</v>
      </c>
      <c r="D1" s="45" t="s">
        <v>416</v>
      </c>
      <c r="E1" s="45" t="s">
        <v>67</v>
      </c>
    </row>
    <row r="2" spans="1:5" x14ac:dyDescent="0.25">
      <c r="A2" t="s">
        <v>417</v>
      </c>
      <c r="B2" t="s">
        <v>418</v>
      </c>
      <c r="C2" t="s">
        <v>419</v>
      </c>
      <c r="D2" t="s">
        <v>420</v>
      </c>
      <c r="E2" t="s">
        <v>421</v>
      </c>
    </row>
    <row r="3" spans="1:5" x14ac:dyDescent="0.25">
      <c r="A3" t="s">
        <v>422</v>
      </c>
      <c r="B3" t="s">
        <v>418</v>
      </c>
      <c r="C3" t="s">
        <v>423</v>
      </c>
      <c r="D3" t="s">
        <v>420</v>
      </c>
      <c r="E3" t="s">
        <v>421</v>
      </c>
    </row>
    <row r="4" spans="1:5" x14ac:dyDescent="0.25">
      <c r="A4" t="s">
        <v>424</v>
      </c>
      <c r="B4" t="s">
        <v>418</v>
      </c>
      <c r="C4" t="s">
        <v>71</v>
      </c>
      <c r="D4" t="s">
        <v>425</v>
      </c>
      <c r="E4" t="s">
        <v>421</v>
      </c>
    </row>
    <row r="5" spans="1:5" x14ac:dyDescent="0.25">
      <c r="A5" t="s">
        <v>426</v>
      </c>
      <c r="B5" t="s">
        <v>418</v>
      </c>
      <c r="C5" t="s">
        <v>427</v>
      </c>
      <c r="D5" t="s">
        <v>425</v>
      </c>
      <c r="E5" t="s">
        <v>421</v>
      </c>
    </row>
  </sheetData>
  <autoFilter ref="A1:E5" xr:uid="{00000000-0009-0000-0000-00001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POM_Office</vt:lpstr>
      <vt:lpstr>POM_Site</vt:lpstr>
      <vt:lpstr>POC</vt:lpstr>
      <vt:lpstr>Geometra</vt:lpstr>
      <vt:lpstr>K-Rotary</vt:lpstr>
      <vt:lpstr>Starwork</vt:lpstr>
      <vt:lpstr>Millenium</vt:lpstr>
      <vt:lpstr>Geolab</vt:lpstr>
      <vt:lpstr>Twinsteel</vt:lpstr>
      <vt:lpstr>JK Hidro Survey</vt:lpstr>
      <vt:lpstr>Security</vt:lpstr>
      <vt:lpstr>Antarakoh</vt:lpstr>
      <vt:lpstr>Security Boat</vt:lpstr>
      <vt:lpstr>Passenger Boat</vt:lpstr>
      <vt:lpstr>Lagging</vt:lpstr>
      <vt:lpstr>Leading</vt:lpstr>
      <vt:lpstr>Be Safe Card Log</vt:lpstr>
      <vt:lpstr>Training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NAZAM TUAN IKHWAN</dc:creator>
  <cp:lastModifiedBy>TUAN NAZAM TUAN IKHWAN</cp:lastModifiedBy>
  <dcterms:created xsi:type="dcterms:W3CDTF">2026-07-11T07:54:40Z</dcterms:created>
  <dcterms:modified xsi:type="dcterms:W3CDTF">2026-10-05T03:26:56Z</dcterms:modified>
</cp:coreProperties>
</file>